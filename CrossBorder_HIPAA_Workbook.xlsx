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2bc8a6584fb9c76/Desktop/GITHUB PORTFOLIO/HIPAA/"/>
    </mc:Choice>
  </mc:AlternateContent>
  <xr:revisionPtr revIDLastSave="0" documentId="8_{ADDEC1AB-BA10-44E2-89C8-88ECFFCAD0BA}" xr6:coauthVersionLast="47" xr6:coauthVersionMax="47" xr10:uidLastSave="{00000000-0000-0000-0000-000000000000}"/>
  <bookViews>
    <workbookView xWindow="2580" yWindow="2580" windowWidth="17280" windowHeight="8880" tabRatio="500" xr2:uid="{00000000-000D-0000-FFFF-FFFF00000000}"/>
  </bookViews>
  <sheets>
    <sheet name="Engagement Overview" sheetId="1" r:id="rId1"/>
    <sheet name="Security Rule Assessment" sheetId="2" r:id="rId2"/>
    <sheet name="Risk Register" sheetId="3" r:id="rId3"/>
    <sheet name="Remediation Plan"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4" i="3" l="1"/>
  <c r="H13" i="3"/>
  <c r="H12" i="3"/>
  <c r="H11" i="3"/>
  <c r="H10" i="3"/>
  <c r="H9" i="3"/>
  <c r="H8" i="3"/>
  <c r="H7" i="3"/>
  <c r="H6" i="3"/>
  <c r="H5" i="3"/>
  <c r="H4" i="3"/>
  <c r="H3" i="3"/>
  <c r="D33" i="1"/>
  <c r="C33" i="1"/>
  <c r="B33" i="1"/>
  <c r="B35" i="1" s="1"/>
</calcChain>
</file>

<file path=xl/sharedStrings.xml><?xml version="1.0" encoding="utf-8"?>
<sst xmlns="http://schemas.openxmlformats.org/spreadsheetml/2006/main" count="910" uniqueCount="542">
  <si>
    <t>HIPAA SECURITY RULE | COMPLIANCE GAP ASSESSMENT WORKBOOK</t>
  </si>
  <si>
    <t>CrossBorder Health Analytics Inc. | Privacy and Security Office | May 2026 | CONFIDENTIAL</t>
  </si>
  <si>
    <t>Engagement Title</t>
  </si>
  <si>
    <t>HIPAA Security Rule Gap Assessment | Business Associate Readiness Review</t>
  </si>
  <si>
    <t>Client (Fictional)</t>
  </si>
  <si>
    <t>CrossBorder Health Analytics Inc. | Toronto-based health data analytics SaaS (federally incorporated Canada)</t>
  </si>
  <si>
    <t>Assessment Lead</t>
  </si>
  <si>
    <t>Edem Messiga, ISO 27001 Certified Lead Auditor | Privacy and Security Office</t>
  </si>
  <si>
    <t>Business Context</t>
  </si>
  <si>
    <t>CrossBorder provides cloud-based population health analytics to US hospital networks and health plans. First major US client (MidWest Health System | 14 hospitals, Illinois) requires BAA execution and demonstrated HIPAA Security Rule compliance before contract execution</t>
  </si>
  <si>
    <t>ePHI in Scope</t>
  </si>
  <si>
    <t>De-identified and limited dataset health records for approx. 2.4M patients from MidWest Health System; includes claims data, lab results, diagnosis codes, medication records</t>
  </si>
  <si>
    <t>HIPAA Role</t>
  </si>
  <si>
    <t>Business Associate (BA) | CrossBorder creates, receives, maintains, and transmits ePHI on behalf of covered entity clients (hospital networks and health plans)</t>
  </si>
  <si>
    <t>Applicable Regulations</t>
  </si>
  <si>
    <t>HIPAA Security Rule (45 CFR Part 164, Subpart C); HIPAA Privacy Rule (45 CFR Part 164, Subpart E); HITECH Act (2009); HHS OCR enforcement guidance</t>
  </si>
  <si>
    <t>Dual Compliance Context</t>
  </si>
  <si>
    <t>CrossBorder is a Canadian company | HIPAA compliance required for US clients; PIPEDA and Ontario PHIPA compliance required for Canadian operations. Dual-framework obligations assessed.</t>
  </si>
  <si>
    <t>Assessment Type</t>
  </si>
  <si>
    <t>Internal HIPAA Security Rule Gap Assessment (pre-Business Associate Agreement execution)</t>
  </si>
  <si>
    <t>Assessment Period</t>
  </si>
  <si>
    <t>01 May 2026 to 23 May 2026 (15 business days)</t>
  </si>
  <si>
    <t>BAA Execution Target</t>
  </si>
  <si>
    <t>July 31, 2026 | contract execution with MidWest Health System</t>
  </si>
  <si>
    <t>Report Date</t>
  </si>
  <si>
    <t>May 25, 2026</t>
  </si>
  <si>
    <t>Classification</t>
  </si>
  <si>
    <t>Confidential | CEO, CTO, CISO, CLO, Privacy Officer</t>
  </si>
  <si>
    <t>HIPAA Security Rule | Safeguard Domains Assessed</t>
  </si>
  <si>
    <t>Safeguard Domain</t>
  </si>
  <si>
    <t>CFR Reference</t>
  </si>
  <si>
    <t>Controls in Scope</t>
  </si>
  <si>
    <t>Risk Priority</t>
  </si>
  <si>
    <t>Administrative Safeguards</t>
  </si>
  <si>
    <t>45 CFR §164.308</t>
  </si>
  <si>
    <t>Security Officer, Risk Analysis, Risk Management, Workforce Training, Access Management, Contingency Planning, Business Associate Contracts</t>
  </si>
  <si>
    <t>Critical</t>
  </si>
  <si>
    <t>Physical Safeguards</t>
  </si>
  <si>
    <t>45 CFR §164.310</t>
  </si>
  <si>
    <t>Facility Access Controls, Workstation Use, Workstation Security, Device and Media Controls</t>
  </si>
  <si>
    <t>High</t>
  </si>
  <si>
    <t>Technical Safeguards</t>
  </si>
  <si>
    <t>45 CFR §164.312</t>
  </si>
  <si>
    <t>Access Controls, Audit Controls, Integrity Controls, Transmission Security</t>
  </si>
  <si>
    <t>Organizational Requirements</t>
  </si>
  <si>
    <t>45 CFR §164.314</t>
  </si>
  <si>
    <t>Business Associate Agreements, Group Health Plan requirements</t>
  </si>
  <si>
    <t>Policies, Procedures and Documentation</t>
  </si>
  <si>
    <t>45 CFR §164.316</t>
  </si>
  <si>
    <t>Written policies, documentation retention (6 years), review and update process</t>
  </si>
  <si>
    <t>Assessment Findings Summary</t>
  </si>
  <si>
    <t>Compliant</t>
  </si>
  <si>
    <t>Gap / Partial</t>
  </si>
  <si>
    <t>Not Applicable</t>
  </si>
  <si>
    <t>Policies and Documentation</t>
  </si>
  <si>
    <t>TOTALS</t>
  </si>
  <si>
    <t>Overall Compliance Rate (Compliant / Total Controls)</t>
  </si>
  <si>
    <t>HIPAA Specification Type Reference</t>
  </si>
  <si>
    <t>Type</t>
  </si>
  <si>
    <t>Definition</t>
  </si>
  <si>
    <t>Implication for CrossBorder</t>
  </si>
  <si>
    <t>Required</t>
  </si>
  <si>
    <t>Must be implemented | no flexibility</t>
  </si>
  <si>
    <t>All Required specifications must be in place before BAA execution</t>
  </si>
  <si>
    <t>Addressable</t>
  </si>
  <si>
    <t>Must be implemented OR document why an equivalent alternative is used</t>
  </si>
  <si>
    <t>If not implementing: document why + describe equivalent measure</t>
  </si>
  <si>
    <t>HIPAA Security Rule Assessment | CrossBorder Health Analytics Inc. | May 2026</t>
  </si>
  <si>
    <t>Assessor: Edem Messiga | BA Role: Creates, receives, maintains, transmits ePHI for MidWest Health System | BAA Target: July 31, 2026</t>
  </si>
  <si>
    <t>Ctrl ID</t>
  </si>
  <si>
    <t>CFR Section</t>
  </si>
  <si>
    <t>Specification</t>
  </si>
  <si>
    <t>Audit Procedure</t>
  </si>
  <si>
    <t>Evidence Obtained</t>
  </si>
  <si>
    <t>Finding</t>
  </si>
  <si>
    <t>Risk Rating</t>
  </si>
  <si>
    <t>Root Cause</t>
  </si>
  <si>
    <t>BA Implication</t>
  </si>
  <si>
    <t>Recommended Action</t>
  </si>
  <si>
    <t>Owner</t>
  </si>
  <si>
    <t>Target Date</t>
  </si>
  <si>
    <t>BAA Blocker</t>
  </si>
  <si>
    <t>Workpaper</t>
  </si>
  <si>
    <t>Administrative Safeguards (45 CFR §164.308)</t>
  </si>
  <si>
    <t>HA-ADM-01</t>
  </si>
  <si>
    <t>§164.308(a)(1)</t>
  </si>
  <si>
    <t>Security Officer Designation</t>
  </si>
  <si>
    <t>Confirm a Security Officer has been formally designated; verify appointment is documented and individual has authority and resources to develop and implement security policies.</t>
  </si>
  <si>
    <t>Privacy and Security Policy v2.1 reviewed; Security Officer designation letter signed by CEO (M. Patel, VP Engineering and Security, appointed January 2026); CISO charter reviewed confirming authority to implement HIPAA Security Rule requirements.</t>
  </si>
  <si>
    <t>Low</t>
  </si>
  <si>
    <t>N/A</t>
  </si>
  <si>
    <t>Business Associates must designate a Security Officer under §164.308(a)(2). CrossBorder's Security Officer designation satisfies this requirement.</t>
  </si>
  <si>
    <t>No action required. Ensure Security Officer designation is referenced in the BAA and provided to MidWest Health System.</t>
  </si>
  <si>
    <t>CEO</t>
  </si>
  <si>
    <t>NO</t>
  </si>
  <si>
    <t>WP-ADM-001</t>
  </si>
  <si>
    <t>HA-ADM-02</t>
  </si>
  <si>
    <t>Risk Analysis | Required Annual Assessment</t>
  </si>
  <si>
    <t>Review last risk analysis report; confirm it covers all ePHI systems; verify threat and vulnerability identification, likelihood and impact assessment, and risk level determination. Confirm annual cadence.</t>
  </si>
  <si>
    <t>Risk analysis report reviewed | last completed October 2025. Report covers AWS infrastructure, developer laptops, and analytics platform. Uses NIST SP 800-30 methodology. Identifies 14 risks; 11 with documented treatment plans. Risk analysis does not specifically identify ePHI data flows | it covers general IT risks. The scope was defined before CrossBorder began receiving ePHI from US clients.</t>
  </si>
  <si>
    <t>Partial</t>
  </si>
  <si>
    <t>The October 2025 risk analysis was conducted before CrossBorder began receiving ePHI from MidWest Health System (pilot started March 2026). The risk analysis scope does not specifically enumerate ePHI data flows, storage locations, or ePHI-specific threats.</t>
  </si>
  <si>
    <t>HIPAA §164.308(a)(1)(ii)(A) requires the risk analysis to cover all ePHI created, received, maintained, or transmitted. An ePHI-scoped risk analysis is a Required specification and a prerequisite for BAA execution.</t>
  </si>
  <si>
    <t>Conduct an ePHI-scoped risk analysis as a standalone exercise before BAA execution: (1) inventory all ePHI data flows (receipt from MidWest, processing in AWS, storage in Snowflake, transmission to analytics dashboard); (2) identify ePHI-specific threats and vulnerabilities; (3) assess likelihood and impact; (4) document risk levels. Target: June 30, 2026.</t>
  </si>
  <si>
    <t>CISO</t>
  </si>
  <si>
    <t>2026-06-30</t>
  </si>
  <si>
    <t>YES</t>
  </si>
  <si>
    <t>WP-ADM-002</t>
  </si>
  <si>
    <t>HA-ADM-03</t>
  </si>
  <si>
    <t>Risk Management | Ongoing Mitigation</t>
  </si>
  <si>
    <t>Verify that identified risks from the risk analysis have documented risk management plans with owners and timelines; confirm implementation of security measures to reduce risks to a reasonable and appropriate level.</t>
  </si>
  <si>
    <t>Risk register reviewed (14 risks). 11 of 14 have documented treatment plans with owners and target dates. 3 risks (relating to ePHI in transit, encryption key management, and developer access to ePHI) do not have treatment plans | they were flagged in October 2025 but assigned to a future review cycle.</t>
  </si>
  <si>
    <t>Three ePHI-relevant risks have been in the risk register since October 2025 without treatment plans. They were deferred to a 'future cycle' that was not assigned a specific date.</t>
  </si>
  <si>
    <t>§164.308(a)(1)(ii)(B) requires a risk management plan to reduce identified risks to reasonable and appropriate levels. Unaddressed ePHI-related risks cannot be carried into BAA execution.</t>
  </si>
  <si>
    <t>Develop treatment plans for the 3 open ePHI risks within 30 days. Implement an ePHI-specific risk management process that reviews ePHI risks quarterly and reports to the Security Officer.</t>
  </si>
  <si>
    <t>2026-06-15</t>
  </si>
  <si>
    <t>WP-ADM-003</t>
  </si>
  <si>
    <t>HA-ADM-04</t>
  </si>
  <si>
    <t>§164.308(a)(3)</t>
  </si>
  <si>
    <t>Workforce Training | HIPAA Security Awareness</t>
  </si>
  <si>
    <t>Review security awareness training program; confirm HIPAA-specific training exists; verify completion rates; sample training content for ePHI handling, breach recognition, and phishing.</t>
  </si>
  <si>
    <t>Annual security awareness training delivered via KnowBe4 (89% completion | 14 staff not yet complete). Training content reviewed | covers general security awareness, phishing, and password hygiene. HIPAA-specific training module does not exist | no training on: ePHI definition, minimum necessary standard, breach notification obligations, or Business Associate responsibilities.</t>
  </si>
  <si>
    <t>CrossBorder added HIPAA compliance obligations when it began receiving US ePHI in March 2026. The security awareness training program has not been updated to include HIPAA-specific content. Staff handling ePHI (7 data engineers, 2 analysts) have received no HIPAA training.</t>
  </si>
  <si>
    <t>HIPAA §164.308(a)(5) requires workforce training on security policies and procedures for ePHI. As a Business Associate, CrossBorder must ensure all workforce members who handle ePHI understand their HIPAA obligations.</t>
  </si>
  <si>
    <t>Develop and deliver a HIPAA-specific training module covering: ePHI definition and scope, minimum necessary standard, breach recognition and reporting, Business Associate obligations, and consequences of HIPAA violations. Achieve 100% completion for all staff with ePHI access before BAA execution.</t>
  </si>
  <si>
    <t>CISO / Chief People Officer</t>
  </si>
  <si>
    <t>2026-07-15</t>
  </si>
  <si>
    <t>WP-ADM-004</t>
  </si>
  <si>
    <t>HA-ADM-05</t>
  </si>
  <si>
    <t>Workforce Access Management | Clearance and Authorisation</t>
  </si>
  <si>
    <t>Review process for authorizing workforce access to ePHI; verify background checks for staff with ePHI access; confirm access is limited to job-relevant ePHI.</t>
  </si>
  <si>
    <t>Access authorization process reviewed. New hire onboarding includes background check (criminal and employment history). ePHI access provisioned via AWS IAM roles assigned by the IT team. Access is role-based but the ePHI access role ('analytics-prod-read') is assigned to 11 staff members | 4 of whom are in sales, marketing, and HR functions with no documented business need for ePHI access.</t>
  </si>
  <si>
    <t>The analytics-prod-read IAM role was created to enable all staff to pull data for demonstrations and product reviews. The minimum necessary access standard (only access needed for job function) was not applied when the role was assigned.</t>
  </si>
  <si>
    <t>HIPAA minimum necessary standard (§164.514(d)) requires access to ePHI to be limited to the minimum necessary. 4 staff with no ePHI business need must have access removed before BAA execution.</t>
  </si>
  <si>
    <t>Revoke ePHI access for 4 staff members with no documented business need. Document business justification for all remaining ePHI access. Implement quarterly ePHI access review tied to Security Officer sign-off.</t>
  </si>
  <si>
    <t>CISO / Director, IAM</t>
  </si>
  <si>
    <t>WP-ADM-005</t>
  </si>
  <si>
    <t>HA-ADM-06</t>
  </si>
  <si>
    <t>§164.308(a)(4)</t>
  </si>
  <si>
    <t>Access Management | Formal Access Authorisation Process</t>
  </si>
  <si>
    <t>Verify a formal process exists for granting ePHI access; confirm requests require business justification, Security Officer or designate approval, and are documented.</t>
  </si>
  <si>
    <t>IAM provisioning workflow reviewed. Standard user access requests require manager approval in ServiceNow. ePHI-specific access (analytics-prod-read role) currently follows the same standard workflow | no escalation to Security Officer or HIPAA-specific justification required.</t>
  </si>
  <si>
    <t>Medium</t>
  </si>
  <si>
    <t>The ePHI access role does not have enhanced approval controls compared to non-ePHI roles. HIPAA requires a formal process specifically for ePHI access that includes minimum necessary justification.</t>
  </si>
  <si>
    <t>As a BA, CrossBorder must have documented procedures for granting access to ePHI consistent with §164.308(a)(4). The current workflow does not distinguish ePHI from other access.</t>
  </si>
  <si>
    <t>Create a separate ePHI access request workflow in ServiceNow: requires business justification, minimum necessary description, and Security Officer approval (not just manager). Apply to all future ePHI access grants.</t>
  </si>
  <si>
    <t>CONDITIONAL</t>
  </si>
  <si>
    <t>WP-ADM-006</t>
  </si>
  <si>
    <t>HA-ADM-07</t>
  </si>
  <si>
    <t>§164.308(a)(5)</t>
  </si>
  <si>
    <t>Security Incident Procedures | HIPAA Breach Notification Awareness</t>
  </si>
  <si>
    <t>Review security incident response plan; confirm it includes HIPAA breach notification obligations (covered entity notification within 60 days of discovery; HHS OCR notification annually or within 60 days for breaches affecting 500+); verify staff know to report suspected ePHI incidents.</t>
  </si>
  <si>
    <t>Incident Response Plan (IRP) v2.0 (February 2026) reviewed. IRP covers general data breaches and incident categories. HIPAA breach notification obligations are not addressed: (1) no covered entity (MidWest Health System) notification procedure; (2) no HHS OCR notification procedure; (3) no HIPAA breach risk assessment methodology (4-factor test); (4) no distinction between security incidents and reportable HIPAA breaches.</t>
  </si>
  <si>
    <t>Gap</t>
  </si>
  <si>
    <t>The IRP was written before CrossBorder took on HIPAA obligations (March 2026 ePHI receipt). The security and legal teams have not updated the IRP to reflect Business Associate breach notification obligations under HITECH §13402.</t>
  </si>
  <si>
    <t>HITECH §13402 requires BAs to notify covered entities of breaches without unreasonable delay (max 60 days from discovery). Failure to notify is a separate HIPAA violation from the breach itself. A BA without a documented breach notification procedure is not BAA-executable.</t>
  </si>
  <si>
    <t>Update IRP to include: (1) HIPAA breach risk assessment (4-factor test | nature/extent of ePHI, who accessed it, whether ePHI was acquired/viewed, extent to which risk has been mitigated); (2) covered entity notification procedure (MidWest Health System | contact, content, timeline); (3) HHS OCR reporting procedure; (4) BA-specific breach response checklist. Target: June 30, 2026.</t>
  </si>
  <si>
    <t>CISO / CLO</t>
  </si>
  <si>
    <t>WP-ADM-007</t>
  </si>
  <si>
    <t>HA-ADM-08</t>
  </si>
  <si>
    <t>§164.308(a)(6)</t>
  </si>
  <si>
    <t>Contingency Plan | Backup and Recovery</t>
  </si>
  <si>
    <t>Review data backup plan, disaster recovery plan, and emergency mode operation plan; verify ePHI backups are encrypted and tested; confirm RTO/RPO for ePHI systems.</t>
  </si>
  <si>
    <t>BCP/DRP reviewed. AWS RDS Multi-AZ with automated backups (daily snapshots + 5-minute point-in-time recovery). Cross-region replication to ca-west-1. DR test conducted February 2026 (RTO: 3h 22min, RPO: 8 min). ePHI backups are encrypted (AES-256, AWS KMS). Backup restoration test confirmed ePHI data integrity.</t>
  </si>
  <si>
    <t>HIPAA §164.308(a)(7) requires data backup plans, DR plans, and emergency mode procedures for ePHI. CrossBorder's backup and recovery controls are well-designed and tested.</t>
  </si>
  <si>
    <t>No corrective action required. Document ePHI backup and recovery procedures as a HIPAA-specific annex to the BCP/DRP for BAA documentation package.</t>
  </si>
  <si>
    <t>VP Engineering</t>
  </si>
  <si>
    <t>WP-ADM-008</t>
  </si>
  <si>
    <t>HA-ADM-09</t>
  </si>
  <si>
    <t>§164.308(a)(7)</t>
  </si>
  <si>
    <t>Evaluation | Periodic Technical and Non-Technical Review</t>
  </si>
  <si>
    <t>Confirm CrossBorder conducts periodic technical and non-technical evaluations of security controls in response to environmental or operational changes; verify last evaluation date.</t>
  </si>
  <si>
    <t>No formal periodic security evaluation process exists as a distinct activity. Security is assessed through annual penetration testing (last: March 2026) and vulnerability scanning (weekly, Tenable.io). No formal process to evaluate controls when operational changes occur (e.g., adding a new ePHI source, deploying a new data pipeline).</t>
  </si>
  <si>
    <t>HIPAA §164.308(a)(8) requires periodic technical and non-technical evaluation of security controls, especially when environment changes. Adding MidWest Health System as an ePHI source is a significant environmental change that should have triggered a formal evaluation.</t>
  </si>
  <si>
    <t>As a BA, CrossBorder must demonstrate ongoing security evaluation. The absence of a change-triggered evaluation process means security assessments do not adapt to new ePHI sources.</t>
  </si>
  <si>
    <t>Implement a security evaluation trigger: any new ePHI source, new data pipeline, or material technology change must trigger a formal security review of controls affecting that ePHI. Document evaluation outcomes and corrective actions. Target: July 15, 2026.</t>
  </si>
  <si>
    <t>WP-ADM-009</t>
  </si>
  <si>
    <t>HA-ADM-10</t>
  </si>
  <si>
    <t>§164.308(b)(1)</t>
  </si>
  <si>
    <t>Business Associate Contracts | Subcontractor BAs</t>
  </si>
  <si>
    <t>Identify all subcontractors who create, receive, maintain, or transmit ePHI on CrossBorder's behalf; verify BAAs are in place with each subcontractor BA.</t>
  </si>
  <si>
    <t>Subcontractor review conducted. CrossBorder uses 5 vendors who process ePHI: AWS (hosting | covered by AWS BAA, confirmed current), Snowflake (data warehouse | BAA required; standard contract in place, no BAA), Databricks (analytics platform | BAA required; no BAA in place), a US-based data integration vendor (CloudLink Inc. | BAA required; no contract of any kind for ePHI processing), and a visualization vendor (Tableau | BAA assessed as not required as Tableau receives only aggregate, non-ePHI data).</t>
  </si>
  <si>
    <t>CrossBorder identified that 3 subcontractor vendors (Snowflake, Databricks, CloudLink Inc.) receive or process ePHI but have no BAAs in place. CloudLink Inc. has no written contract at all for its ePHI processing role.</t>
  </si>
  <si>
    <t>HIPAA §164.308(b)(1) requires BAs to obtain satisfactory assurances (BAA) from subcontractor BAs. A BA cannot execute a BAA with a covered entity while its own subcontractor BAs are not under BAA. This is a critical chain-of-trust requirement.</t>
  </si>
  <si>
    <t>Immediate: (1) Execute Snowflake BAA using Snowflake's standard HIPAA BAA (available in Snowflake console); (2) Execute Databricks BAA (available via Databricks sales/legal); (3) Establish formal contract with CloudLink Inc. including BAA before any further ePHI processing. Target: all 3 BAAs by June 30, 2026.</t>
  </si>
  <si>
    <t>CLO / Privacy Officer</t>
  </si>
  <si>
    <t>WP-ADM-010</t>
  </si>
  <si>
    <t>Physical Safeguards (45 CFR §164.310)</t>
  </si>
  <si>
    <t>HA-PHY-01</t>
  </si>
  <si>
    <t>§164.310(a)(1)</t>
  </si>
  <si>
    <t>Facility Access Controls</t>
  </si>
  <si>
    <t>Review physical access controls for CrossBorder's Toronto office and any locations hosting ePHI workstations; verify badge access logs, visitor management, and server room controls.</t>
  </si>
  <si>
    <t>Toronto office has badge access (RFID, HID system). Badge access logs retained 12 months. Visitor sign-in log maintained at reception. No on-premise servers | all ePHI processing on AWS. Developer workstations in an open office with no restricted zone for ePHI access.</t>
  </si>
  <si>
    <t>Office physical access is reasonably controlled. Gap: no restricted access zone for workstations used to access ePHI. In a cloud-native environment, the physical control focus shifts to workstation security rather than server room controls.</t>
  </si>
  <si>
    <t>HIPAA §164.310(a) physical safeguards apply to all workstations accessing ePHI. An open office environment where ePHI is accessible on screens visible to passersby creates a physical disclosure risk.</t>
  </si>
  <si>
    <t>Implement a clear screen policy for ePHI access (privacy screens on monitors, auto-lock after 5 minutes). Designate the analytics team workspace as a 'sensitive data zone' with visitor restrictions. Consider privacy screens for all analytics workstations as a proportionate control for a cloud-native BA.</t>
  </si>
  <si>
    <t>CISO / Facilities</t>
  </si>
  <si>
    <t>WP-PHY-001</t>
  </si>
  <si>
    <t>HA-PHY-02</t>
  </si>
  <si>
    <t>§164.310(b)</t>
  </si>
  <si>
    <t>Workstation Use Policy</t>
  </si>
  <si>
    <t>Review workstation use policy for ePHI access; confirm policy specifies appropriate use, physical safeguards, and restrictions on workstation use in public locations.</t>
  </si>
  <si>
    <t>Acceptable Use Policy v2.0 (January 2026) reviewed. Policy covers general computer use, internet access, and confidential data. ePHI-specific workstation use requirements are absent: no restriction on accessing ePHI from public Wi-Fi, no requirement for VPN when accessing ePHI remotely, no screen privacy requirements, no prohibition on printing ePHI.</t>
  </si>
  <si>
    <t>The AUP was not updated when CrossBorder began receiving US ePHI in March 2026. Remote work is common at CrossBorder | 4 of 9 staff with ePHI access regularly work from home or coffee shops without VPN.</t>
  </si>
  <si>
    <t>§164.310(b) requires specification of proper functions to be performed on workstations that access ePHI and physical attributes of their surroundings. Remote ePHI access without VPN is a significant data exposure risk.</t>
  </si>
  <si>
    <t>Update AUP with ePHI-specific workstation provisions: (1) VPN required for all remote ePHI access; (2) prohibition on ePHI access from public Wi-Fi without VPN; (3) screen lock requirement (5 minutes); (4) prohibition on ePHI printing without Security Officer approval; (5) prohibition on local ePHI storage on workstations.</t>
  </si>
  <si>
    <t>WP-PHY-002</t>
  </si>
  <si>
    <t>HA-PHY-03</t>
  </si>
  <si>
    <t>§164.310(c)</t>
  </si>
  <si>
    <t>Workstation Security | Endpoint Hardening</t>
  </si>
  <si>
    <t>Verify workstations with ePHI access have endpoint protection, disk encryption, and hardening controls; check MDM enrollment status for all ePHI-access workstations.</t>
  </si>
  <si>
    <t>CrowdStrike Falcon deployed on 201 of 248 corporate devices. Jamf MDM enrollment: 201 of 248 devices. 47 developer laptops not enrolled in MDM (same gap identified in NIST CSF assessment). 9 of those 47 developers have ePHI access in AWS. FileVault encryption status unknown for these 9 devices | voluntary survey suggests 7 of 9 have FileVault enabled but this is unverified.</t>
  </si>
  <si>
    <t>9 developer laptops with ePHI access are not enrolled in MDM | FileVault encryption cannot be confirmed, CrowdStrike is not deployed on these devices, and remote wipe capability is absent. A lost or stolen unencrypted laptop containing cached AWS credentials or ePHI would be a reportable HIPAA breach.</t>
  </si>
  <si>
    <t>§164.310(c) requires physical safeguards for workstations accessing ePHI. An unencrypted workstation with ePHI access is a direct §164.312 technical safeguard failure and a reportable breach risk under HITECH.</t>
  </si>
  <si>
    <t>Enroll all 9 ePHI-access developer laptops in Jamf MDM immediately | do not wait for the broader MDM rollout. Enforce FileVault, CrowdStrike, screen lock, and prohibited software policy before BAA execution. This is a BAA execution prerequisite.</t>
  </si>
  <si>
    <t>CISO / Director, IT Operations</t>
  </si>
  <si>
    <t>WP-PHY-003</t>
  </si>
  <si>
    <t>HA-PHY-04</t>
  </si>
  <si>
    <t>§164.310(d)(1)</t>
  </si>
  <si>
    <t>Device and Media Controls | ePHI Device Inventory</t>
  </si>
  <si>
    <t>Verify all hardware and electronic media containing ePHI are inventoried; confirm disposal procedures for decommissioned devices include ePHI sanitization.</t>
  </si>
  <si>
    <t>Device inventory maintained in Jamf (enrolled devices only). AWS asset inventory via AWS Config (all cloud infrastructure). ePHI is processed exclusively in AWS | no local ePHI storage on managed devices (confirmed by Macie scan). Decommissioned device procedure: certified data destruction vendor (CertaDestroy) with certificate of destruction. No ePHI-specific media inventory or tracking.</t>
  </si>
  <si>
    <t>ePHI is confirmed to be cloud-only (no local device storage). However, no formal ePHI device inventory exists as required. The absence of local ePHI storage reduces risk materially, but the documentation gap remains.</t>
  </si>
  <si>
    <t>§164.310(d)(1) requires inventory of hardware and media that contain ePHI. Even in a cloud-native environment, an ePHI media inventory (AWS resources, not physical devices) should be documented.</t>
  </si>
  <si>
    <t>Document an ePHI media and system inventory specific to HIPAA: list all AWS services that receive, store, or process ePHI (RDS instances, S3 buckets, Snowflake, Databricks). Update when new ePHI data sources are added.</t>
  </si>
  <si>
    <t>WP-PHY-004</t>
  </si>
  <si>
    <t>HA-PHY-05</t>
  </si>
  <si>
    <t>§164.310(d)(2)</t>
  </si>
  <si>
    <t>Device and Media Controls | ePHI Disposal and Re-use</t>
  </si>
  <si>
    <t>Verify procedures for disposing of ePHI from hardware and media; confirm cloud resource termination procedures include ePHI deletion; review S3 and RDS deletion procedures.</t>
  </si>
  <si>
    <t>AWS S3 lifecycle policies for ePHI buckets: data deleted after retention period using S3 Object Expiration. RDS snapshot deletion: automated by retention policy (35-day automated backup retention; manual snapshots deleted on request). Cross-region replication in ca-west-1: deletion propagates to replica. No documented procedure for ePHI deletion on BAA termination | what happens to ePHI when the MidWest Health System contract ends.</t>
  </si>
  <si>
    <t>Standard ePHI lifecycle deletion is well-implemented via AWS native controls. Critical gap: no procedure for ePHI return or destruction on BAA termination, as required by the BAA template and §164.308(b)(1). MidWest Health System will require this procedure before contract execution.</t>
  </si>
  <si>
    <t>HIPAA BAA templates require the BA to return or destroy ePHI upon termination of the agreement. The absence of a documented ePHI termination procedure is a BAA execution gap.</t>
  </si>
  <si>
    <t>Document an ePHI termination procedure: upon BAA termination, (1) export ePHI to covered entity in agreed format; (2) delete all ePHI from AWS (S3, RDS, Snowflake, Databricks, backups, replicas); (3) obtain certificate of deletion; (4) notify covered entity of completion. Target: June 30, 2026.</t>
  </si>
  <si>
    <t>WP-PHY-005</t>
  </si>
  <si>
    <t>HA-PHY-06</t>
  </si>
  <si>
    <t>§164.310(a)(2)</t>
  </si>
  <si>
    <t>Facility Access | AWS Cloud Responsibility Assignment</t>
  </si>
  <si>
    <t>Document HIPAA shared responsibility model with AWS; confirm AWS BAA is current; verify CrossBorder understands which physical controls are AWS responsibility vs CrossBorder responsibility.</t>
  </si>
  <si>
    <t>AWS BAA confirmed current (signed via AWS console, valid for all HIPAA-eligible services used). HIPAA shared responsibility model documented in CrossBorder security policy. AWS SOC 2 Type II report on file. AWS physical security (data centres) covered by AWS BAA.</t>
  </si>
  <si>
    <t>CrossBorder correctly relies on AWS for physical data centre security under the shared responsibility model. AWS BAA covers physical safeguards for AWS infrastructure.</t>
  </si>
  <si>
    <t>No corrective action required. Retain AWS BAA and AWS SOC 2 Type II report as HIPAA documentation artefacts.</t>
  </si>
  <si>
    <t>WP-PHY-006</t>
  </si>
  <si>
    <t>Technical Safeguards (45 CFR §164.312)</t>
  </si>
  <si>
    <t>HA-TEC-01</t>
  </si>
  <si>
    <t>§164.312(a)(1)</t>
  </si>
  <si>
    <t>Access Controls | Unique User Identification</t>
  </si>
  <si>
    <t>Verify all users accessing ePHI have unique identifiers; confirm no shared accounts for ePHI system access; review AWS IAM user list for shared accounts.</t>
  </si>
  <si>
    <t>AWS IAM user accounts reviewed. All 11 staff with ePHI access have individual IAM users | no shared accounts. Snowflake user accounts: all individual. Databricks: 7 individual accounts confirmed. Service accounts reviewed: 3 service accounts access ePHI (data ingestion pipeline). Service accounts are individually named and documented in the service account register.</t>
  </si>
  <si>
    <t>§164.312(a)(2)(i) requires unique user identification for all ePHI access. CrossBorder's IAM architecture satisfies this requirement.</t>
  </si>
  <si>
    <t>No corrective action required. Confirm service account documentation is included in HIPAA documentation package.</t>
  </si>
  <si>
    <t>Director, IAM</t>
  </si>
  <si>
    <t>WP-TEC-001</t>
  </si>
  <si>
    <t>HA-TEC-02</t>
  </si>
  <si>
    <t>Access Controls | Automatic Logoff</t>
  </si>
  <si>
    <t>Verify automatic logoff is configured for all systems accessing ePHI; confirm timeout period is appropriate; test logoff behavior on analytics platform and AWS console.</t>
  </si>
  <si>
    <t>AWS console session timeout: 1 hour (configured via AWS IAM session policy). Databricks workspace timeout: 8 hours (default | not modified from vendor default). Snowflake web UI timeout: 4 hours. Developer workstation screen lock: 5 minutes (enforced via Jamf for enrolled devices; unenforced for 9 non-enrolled ePHI access devices).</t>
  </si>
  <si>
    <t>Databricks 8-hour session timeout exceeds the typical acceptable window for ePHI systems. The 9 non-enrolled developer laptops have no enforced screen lock | creating a risk of unattended workstation access to ePHI.</t>
  </si>
  <si>
    <t>§164.312(a)(2)(iii) addressable specification for automatic logoff. The Databricks 8-hour default was not reviewed against HIPAA requirements when the platform was deployed for ePHI analytics.</t>
  </si>
  <si>
    <t>Reduce Databricks workspace session timeout to 30 minutes of inactivity. Enforce screen lock on all 9 non-enrolled ePHI-access workstations via Jamf enrollment (linked to HA-PHY-03).</t>
  </si>
  <si>
    <t>CISO / VP Engineering</t>
  </si>
  <si>
    <t>WP-TEC-002</t>
  </si>
  <si>
    <t>HA-TEC-03</t>
  </si>
  <si>
    <t>Access Controls | Encryption and Decryption</t>
  </si>
  <si>
    <t>Verify encryption is used to protect ePHI at rest; confirm key management practices; verify encryption standards meet NIST guidance for HIPAA.</t>
  </si>
  <si>
    <t>AWS RDS: TDE with customer-managed keys (AWS KMS, FIPS 140-2 validated HSM). S3 ePHI buckets: SSE-KMS with customer-managed keys. Snowflake: encryption at rest with CrossBorder-managed keys via Snowflake Tri-Secret Secure (customer-managed keys in AWS KMS). Databricks: encrypted storage using AWS EBS encryption with KMS. All key rotation: annual, automated. Encryption standard: AES-256 throughout | meets NIST SP 800-111 and HHS guidance.</t>
  </si>
  <si>
    <t>Encryption at rest for all ePHI storage meets HIPAA expectations. Customer-managed keys provide an additional layer of control appropriate for a BA handling sensitive health data.</t>
  </si>
  <si>
    <t>No corrective action required. Document encryption architecture in HIPAA security documentation package for BAA.</t>
  </si>
  <si>
    <t>Director, Cloud Security</t>
  </si>
  <si>
    <t>WP-TEC-003</t>
  </si>
  <si>
    <t>HA-TEC-04</t>
  </si>
  <si>
    <t>§164.312(a)(2)(iv)</t>
  </si>
  <si>
    <t>Access Controls | Emergency Access Procedure</t>
  </si>
  <si>
    <t>Verify a documented emergency access procedure exists for ePHI in case normal access controls are unavailable (e.g., Security Officer unavailable, system outage).</t>
  </si>
  <si>
    <t>No formal emergency access procedure documented for ePHI. CTO and Security Officer have root AWS access for emergency scenarios. Break-glass access to Snowflake is managed via a shared admin credential stored in LastPass | not in a dedicated PAM tool.</t>
  </si>
  <si>
    <t>Emergency access was never formalized because CrossBorder is a small team where the CTO and Security Officer are the same person for most decisions. The shared Snowflake admin credential in LastPass creates both an access control gap and an audit trail gap.</t>
  </si>
  <si>
    <t>§164.312(a)(2)(ii) requires a documented emergency access procedure. A shared credential in LastPass for ePHI emergency access provides no audit trail and violates the unique user identification requirement.</t>
  </si>
  <si>
    <t>Document formal emergency access procedure: (1) designate backup access holder (CEO or CLO); (2) migrate Snowflake emergency credentials to AWS Secrets Manager with session recording; (3) require dual-person authorization for emergency ePHI access; (4) audit log all emergency access events. Target: June 30, 2026.</t>
  </si>
  <si>
    <t>WP-TEC-004</t>
  </si>
  <si>
    <t>HA-TEC-05</t>
  </si>
  <si>
    <t>§164.312(b)</t>
  </si>
  <si>
    <t>Audit Controls | ePHI Access Logging</t>
  </si>
  <si>
    <t>Verify hardware, software, and procedural mechanisms record and examine activity in ePHI systems; confirm audit logs capture who accessed what ePHI and when; verify log retention.</t>
  </si>
  <si>
    <t>CloudTrail enabled for all AWS actions including ePHI S3 and RDS access. Snowflake access history enabled | logs all queries including ePHI data access with user, timestamp, and query text. Databricks audit logs enabled. Log retention: CloudTrail 1 year, Snowflake 365 days, Databricks 90 days. Logs reviewed weekly by security engineer. No SIEM for cross-source correlation.</t>
  </si>
  <si>
    <t>ePHI audit logging is present in all three platforms. Critical gap: Databricks 90-day log retention is below the HIPAA-expected standard. HIPAA documentation must be retained for 6 years | audit logs that demonstrate access controls are operating should be retained for a comparable period. Additionally, no SIEM means cross-source correlation of ePHI access events is not possible.</t>
  </si>
  <si>
    <t>§164.312(b) requires audit controls to record and examine activity in systems containing ePHI. HIPAA does not specify a minimum log retention period but HHS guidance and OCR investigation practices suggest 6-year retention for HIPAA documentation.</t>
  </si>
  <si>
    <t>Extend Databricks audit log retention to minimum 1 year (align with CloudTrail and Snowflake). Evaluate long-term archival of ePHI audit logs (6 years) to S3 cold storage. Implement cross-source ePHI access monitoring (SIEM | linked to NIST CSF INI-005).</t>
  </si>
  <si>
    <t>SOC Manager / VP Engineering</t>
  </si>
  <si>
    <t>WP-TEC-005</t>
  </si>
  <si>
    <t>HA-TEC-06</t>
  </si>
  <si>
    <t>§164.312(c)(1)</t>
  </si>
  <si>
    <t>Integrity Controls | ePHI Alteration and Destruction</t>
  </si>
  <si>
    <t>Verify controls to protect ePHI from improper alteration or destruction; confirm S3 object integrity, database write controls, and change detection mechanisms.</t>
  </si>
  <si>
    <t>AWS S3 Object Lock (WORM) not enabled on ePHI buckets | S3 versioning is enabled. RDS has automated backups but no immutability for current data. Snowflake: no row-level change detection. AWS Macie configured to detect ePHI in S3 but not to detect unauthorized alterations. No file integrity monitoring for ePHI data sets.</t>
  </si>
  <si>
    <t>S3 versioning provides some integrity protection (previous versions retained) but WORM immutability is not enabled. No proactive detection of unauthorized ePHI alterations exists | only reactive detection via backup comparison.</t>
  </si>
  <si>
    <t>§164.312(c)(1) requires implementation of policies and procedures to protect ePHI from improper alteration or destruction. S3 versioning is a partial control | WORM immutability would fully satisfy this requirement.</t>
  </si>
  <si>
    <t>Enable S3 Object Lock (WORM mode | compliance or governance) on all ePHI S3 buckets. Enable Snowflake Time Travel (90 days) for ePHI tables as an integrity verification mechanism. Document data integrity controls in HIPAA security documentation.</t>
  </si>
  <si>
    <t>WP-TEC-006</t>
  </si>
  <si>
    <t>HA-TEC-07</t>
  </si>
  <si>
    <t>§164.312(d)</t>
  </si>
  <si>
    <t>Person Authentication | MFA for ePHI Access</t>
  </si>
  <si>
    <t>Verify authentication mechanisms for ePHI system access; confirm MFA is enforced for all ePHI-accessible systems; test authentication flows.</t>
  </si>
  <si>
    <t>MFA via Okta enforced for AWS console, Snowflake, and Databricks web access. SSH access to production servers (where ePHI is not directly accessible but AWS credentials are present) uses SSH key authentication without MFA | same gap identified in NIST CSF assessment.</t>
  </si>
  <si>
    <t>SSH MFA gap on production servers: while ePHI is not directly stored on EC2 instances, the servers have IAM roles permitting ePHI S3 and RDS access. A compromised SSH key = access to ePHI via AWS credentials attached to the server.</t>
  </si>
  <si>
    <t>§164.312(d) requires a mechanism to authenticate a person seeking access to ePHI. SSH key access to servers with ePHI-permissioned IAM roles without MFA is a technical safeguard failure. HHS OCR has cited MFA gaps in HIPAA enforcement actions.</t>
  </si>
  <si>
    <t>Enforce MFA for all SSH access to production servers (Teleport or equivalent | linked to NIST CSF INI-001). Target: June 30, 2026. This remediation simultaneously closes gaps in HIPAA §164.312(d), PCI-DSS Req 8, NIST CSF PR.AA-03, and ISO 27001 A.8.2.</t>
  </si>
  <si>
    <t>WP-TEC-007</t>
  </si>
  <si>
    <t>HA-TEC-08</t>
  </si>
  <si>
    <t>§164.312(e)(1)</t>
  </si>
  <si>
    <t>Transmission Security | ePHI in Transit Encryption</t>
  </si>
  <si>
    <t>Verify ePHI is encrypted in transit between all components; confirm TLS version enforcement; test ePHI data flows for plaintext transmission.</t>
  </si>
  <si>
    <t>All ePHI in transit encrypted via TLS 1.3 (AWS API endpoints, Snowflake JDBC/ODBC, Databricks REST API). MidWest Health System sends ePHI to CrossBorder via SFTP with AES-256 encryption (SFTP server on AWS Transfer Family). Internal service-to-service ePHI flows use TLS 1.2 minimum. No plaintext ePHI transmission identified in network scan.</t>
  </si>
  <si>
    <t>§164.312(e)(2)(ii) requires encryption of ePHI in transit. CrossBorder's TLS 1.3 implementation and SFTP-encrypted transfer from MidWest Health System satisfy this requirement.</t>
  </si>
  <si>
    <t>No corrective action required. Document ePHI transmission security in HIPAA security documentation package.</t>
  </si>
  <si>
    <t>WP-TEC-008</t>
  </si>
  <si>
    <t>HA-TEC-09</t>
  </si>
  <si>
    <t>§164.312(e)(2)(i)</t>
  </si>
  <si>
    <t>Transmission Security | Integrity Controls for ePHI Transmission</t>
  </si>
  <si>
    <t>Verify integrity controls exist to ensure ePHI is not improperly modified during transmission; confirm checksums or hash verification for ePHI file transfers.</t>
  </si>
  <si>
    <t>SFTP ePHI transfers from MidWest Health System include SHA-256 file checksums in the transfer manifest. AWS Transfer Family logs file integrity. Internal ePHI API transfers rely on TLS for integrity | no separate checksum verification for database record transfers.</t>
  </si>
  <si>
    <t>Inbound ePHI file transfers have checksum verification. Internal database record transfers rely on TLS transport integrity only | no application-layer integrity controls.</t>
  </si>
  <si>
    <t>§164.312(e)(2)(i) addressable specification for transmission integrity. TLS provides transport-layer integrity. Application-layer checksums for database record transfers would provide additional assurance.</t>
  </si>
  <si>
    <t>Document that TLS provides transmission integrity for internal ePHI flows. For high-risk ePHI batch transfers, implement SHA-256 manifest verification as an additional control. No BAA blocker | document as an ongoing improvement.</t>
  </si>
  <si>
    <t>2026-07-31</t>
  </si>
  <si>
    <t>WP-TEC-009</t>
  </si>
  <si>
    <t>Organizational Requirements (45 CFR §164.314)</t>
  </si>
  <si>
    <t>HA-ORG-01</t>
  </si>
  <si>
    <t>§164.314(a)(1)</t>
  </si>
  <si>
    <t>Business Associate Agreements | Covered Entity BAA</t>
  </si>
  <si>
    <t>Verify a completed HIPAA-compliant BAA template is ready for execution with MidWest Health System; confirm all required BAA provisions are present.</t>
  </si>
  <si>
    <t>Draft BAA reviewed (prepared by external HIPAA counsel). BAA includes all required provisions per §164.504(e)(2): (1) permitted uses and disclosures; (2) ePHI safeguards; (3) subcontractor BA requirements; (4) reporting of breaches and security incidents; (5) ePHI return or destruction on termination; (6) HIPAA amendment compliance obligation. BAA is not yet executed | pending Security Rule compliance demonstration by CrossBorder.</t>
  </si>
  <si>
    <t>The BAA is drafted and legally sound but cannot be executed until CrossBorder demonstrates Security Rule compliance. Multiple open gaps (HA-ADM-02, HA-ADM-07, HA-ADM-10, HA-TEC-07) are BAA execution prerequisites.</t>
  </si>
  <si>
    <t>HIPAA §164.314(a)(1) requires a BAA with all covered entity clients before receiving ePHI. The BAA is currently drafted but unexecutable due to Security Rule gaps.</t>
  </si>
  <si>
    <t>Resolve all BAA blocker findings. Once resolved, execute BAA with MidWest Health System CLO. Retain executed BAA for minimum 6 years per §164.316(b)(2).</t>
  </si>
  <si>
    <t>WP-ORG-001</t>
  </si>
  <si>
    <t>HA-ORG-02</t>
  </si>
  <si>
    <t>§164.314(a)(2)</t>
  </si>
  <si>
    <t>Business Associate Agreements | Subcontractor Chain</t>
  </si>
  <si>
    <t>Verify all subcontractor BAs (Snowflake, Databricks, CloudLink Inc.) have BAAs in place before executing covered entity BAA; confirm subcontractor BAA chain is unbroken.</t>
  </si>
  <si>
    <t>Subcontractor BAA status: AWS | executed; Snowflake | not yet executed; Databricks | not yet executed; CloudLink Inc. | no contract at all. Tableau | not required (no ePHI).</t>
  </si>
  <si>
    <t>Same root cause as HA-ADM-10. Three subcontractor BAs without executed BAAs prevent the covered entity BAA chain from being complete.</t>
  </si>
  <si>
    <t>A covered entity BAA cannot be executed while subcontractor BAAs are missing. HHS OCR has investigated covered entities whose BAs had incomplete subcontractor BAA chains.</t>
  </si>
  <si>
    <t>Execute Snowflake, Databricks, and CloudLink Inc. BAAs before covered entity BAA execution. See HA-ADM-10 remediation. Target: all subcontractor BAAs by June 30, 2026.</t>
  </si>
  <si>
    <t>WP-ORG-002</t>
  </si>
  <si>
    <t>HA-ORG-03</t>
  </si>
  <si>
    <t>§164.314(b)</t>
  </si>
  <si>
    <t>Organizational Requirements | HIPAA-Covered Components</t>
  </si>
  <si>
    <t>Assess whether CrossBorder's Canadian corporate structure affects its HIPAA obligations; document BA status and obligations for the Canadian entity receiving US ePHI.</t>
  </si>
  <si>
    <t>Legal assessment completed by external HIPAA counsel. CrossBorder Health Analytics Inc. (federally incorporated Canada) receives US ePHI as a Business Associate under HIPAA. The Canadian corporate structure does not exempt CrossBorder from HIPAA obligations | the covered entity (MidWest Health System) is subject to HIPAA, and any entity receiving ePHI on behalf of a covered entity is a BA regardless of where the BA is incorporated.</t>
  </si>
  <si>
    <t>CrossBorder's legal status as a Business Associate under HIPAA is confirmed by external counsel. Canadian incorporation does not affect HIPAA obligations.</t>
  </si>
  <si>
    <t>No corrective action required. Include legal assessment memo in HIPAA documentation package. CrossBorder should also assess whether its Canadian operations create any cross-border ePHI transfer obligations (PHIPA, PIPEDA).</t>
  </si>
  <si>
    <t>CLO</t>
  </si>
  <si>
    <t>WP-ORG-003</t>
  </si>
  <si>
    <t>Policies, Procedures and Documentation (45 CFR §164.316)</t>
  </si>
  <si>
    <t>HA-POL-01</t>
  </si>
  <si>
    <t>§164.316(a)</t>
  </si>
  <si>
    <t>Written Policies and Procedures | HIPAA Security Policy</t>
  </si>
  <si>
    <t>Verify CrossBorder has implemented written policies and procedures to prevent, detect, contain, and correct security violations; confirm HIPAA-specific security policy exists.</t>
  </si>
  <si>
    <t>Privacy and Security Policy v2.1 (January 2026) reviewed. Policy covers general security principles and data protection. HIPAA-specific provisions are minimal | a one-paragraph reference to 'compliance with applicable US healthcare regulations.' No dedicated HIPAA Security Policy exists with provisions addressing each Security Rule requirement.</t>
  </si>
  <si>
    <t>CrossBorder added HIPAA obligations in March 2026 when ePHI receipt began. The security policy was last reviewed in January 2026 and does not reflect the HIPAA Security Rule requirements applicable to a Business Associate.</t>
  </si>
  <si>
    <t>§164.316(a) requires written policies and procedures implementing the Security Rule. A general security policy with a one-paragraph HIPAA reference does not satisfy this requirement.</t>
  </si>
  <si>
    <t>Develop a HIPAA Security Policy as a standalone document or dedicated annex to the existing security policy. Policy must address: Security Officer role, risk analysis/management, workforce training, access management, audit logging, incident response, contingency planning, and BAA management. Target: July 15, 2026.</t>
  </si>
  <si>
    <t>CISO / Privacy Officer</t>
  </si>
  <si>
    <t>WP-POL-001</t>
  </si>
  <si>
    <t>HA-POL-02</t>
  </si>
  <si>
    <t>§164.316(b)(1)</t>
  </si>
  <si>
    <t>Documentation | Written Documentation of Actions</t>
  </si>
  <si>
    <t>Verify that actions, activities, and assessments required by the Security Rule are documented in writing; confirm documentation is accessible to those responsible for implementation.</t>
  </si>
  <si>
    <t>Security documentation review conducted. Risk analysis (October 2025) | documented. IRP (February 2026) | documented. Security Officer designation (January 2026) | documented. Gaps: no documented ePHI risk analysis, no HIPAA security policy, no subcontractor BAA documentation, no ePHI access review records.</t>
  </si>
  <si>
    <t>Several HIPAA Security Rule documentation requirements are absent | specifically those that were created when CrossBorder began receiving ePHI in March 2026 without updating its documentation suite.</t>
  </si>
  <si>
    <t>§164.316(b)(1) requires written documentation of all Security Rule actions, activities, and assessments. Gaps in documentation are independently enforceable HIPAA violations separate from the underlying control gaps.</t>
  </si>
  <si>
    <t>Complete all identified documentation gaps as remediation actions are completed. Build a HIPAA documentation package that will be provided to MidWest Health System upon BAA execution and retained for 6 years per §164.316(b)(2).</t>
  </si>
  <si>
    <t>WP-POL-002</t>
  </si>
  <si>
    <t>HA-POL-03</t>
  </si>
  <si>
    <t>§164.316(b)(2)</t>
  </si>
  <si>
    <t>Documentation | Retention for 6 Years</t>
  </si>
  <si>
    <t>Verify documentation retention policy requires HIPAA documents to be retained for minimum 6 years from creation date or last effective date, whichever is later.</t>
  </si>
  <si>
    <t>General document retention policy specifies 7 years for legal and compliance documents | exceeds the HIPAA 6-year minimum. However, the retention policy does not specifically identify HIPAA documentation as a retention category, and no HIPAA-specific document retention schedule exists.</t>
  </si>
  <si>
    <t>The 7-year retention period exceeds HIPAA's 6-year requirement. However, the absence of a HIPAA-specific retention category means HIPAA documents are not explicitly identified for preservation in the event of a litigation hold or OCR investigation.</t>
  </si>
  <si>
    <t>HIPAA §164.316(b)(2) requires 6-year retention. While the general policy covers this, HIPAA documents should be explicitly identified to ensure they are not inadvertently deleted under general housekeeping.</t>
  </si>
  <si>
    <t>Add 'HIPAA Security Rule documentation' as a specific category in the document retention policy with 6-year retention from creation date or last effective date. Include: BAAs, risk analyses, security policies, training records, audit logs, and incident reports.</t>
  </si>
  <si>
    <t>WP-POL-003</t>
  </si>
  <si>
    <t>HA-POL-04</t>
  </si>
  <si>
    <t>§164.316(b)(1)(ii)</t>
  </si>
  <si>
    <t>Policies and Procedures | Review and Update</t>
  </si>
  <si>
    <t>Verify policies and procedures are reviewed and updated periodically in response to environmental or operational changes; confirm review cadence.</t>
  </si>
  <si>
    <t>Security policy review cadence: annual. No formal process to trigger policy review on operational changes (e.g., adding a new ePHI source, new vendor, regulatory change). The March 2026 start of ePHI receipt did not trigger a policy review.</t>
  </si>
  <si>
    <t>Annual review is appropriate for stable environments. However, HIPAA requires policies to be reviewed and updated when there are changes to the operating environment | particularly changes that affect ePHI handling. The ePHI receipt start in March 2026 should have triggered an immediate review.</t>
  </si>
  <si>
    <t>§164.316(b)(1)(ii) requires policies to be updated in response to environmental or operational changes. CrossBorder needs a change-triggered policy review mechanism.</t>
  </si>
  <si>
    <t>Add an operational change trigger to the policy review process: any new ePHI source, new subcontractor, regulatory change, or security incident must trigger a policy review within 30 days. Document the trigger and outcome.</t>
  </si>
  <si>
    <t>WP-POL-004</t>
  </si>
  <si>
    <t>HIPAA Security Rule Risk Register | CrossBorder Health Analytics Inc. | May 2026</t>
  </si>
  <si>
    <t>Risk ID</t>
  </si>
  <si>
    <t>Risk Category</t>
  </si>
  <si>
    <t>Risk Description</t>
  </si>
  <si>
    <t>Threat Source</t>
  </si>
  <si>
    <t>Likelihood (1-5)</t>
  </si>
  <si>
    <t>Impact (1-5)</t>
  </si>
  <si>
    <t>Risk Score</t>
  </si>
  <si>
    <t>Existing Control</t>
  </si>
  <si>
    <t>Residual Risk</t>
  </si>
  <si>
    <t>Risk Owner</t>
  </si>
  <si>
    <t>Treatment</t>
  </si>
  <si>
    <t>HR-001</t>
  </si>
  <si>
    <t>Risk Analysis Gap</t>
  </si>
  <si>
    <t>ePHI risk analysis not conducted | ePHI-specific threats and vulnerabilities not identified or assessed.</t>
  </si>
  <si>
    <t>All threat sources</t>
  </si>
  <si>
    <t>General IT risk analysis (October 2025) | does not cover ePHI scope</t>
  </si>
  <si>
    <t>Conduct ePHI-scoped risk analysis immediately | BAA execution prerequisite.</t>
  </si>
  <si>
    <t>HR-002</t>
  </si>
  <si>
    <t>Breach Notification</t>
  </si>
  <si>
    <t>No HIPAA breach notification procedure | covered entity cannot be notified within required 60-day window.</t>
  </si>
  <si>
    <t>Security incident / data breach</t>
  </si>
  <si>
    <t>General IRP exists | does not address HIPAA obligations</t>
  </si>
  <si>
    <t>Update IRP to include HIPAA breach notification | 4-factor test, CE notification, HHS OCR reporting.</t>
  </si>
  <si>
    <t>HR-003</t>
  </si>
  <si>
    <t>Subcontractor BAAs</t>
  </si>
  <si>
    <t>3 subcontractor BAs (Snowflake, Databricks, CloudLink) process ePHI without BAAs | unprotected ePHI in subcontractor environments.</t>
  </si>
  <si>
    <t>Subcontractor / Third Party</t>
  </si>
  <si>
    <t>AWS BAA in place | Snowflake/Databricks/CloudLink without BAA</t>
  </si>
  <si>
    <t>Execute all 3 subcontractor BAAs before covered entity BAA execution | June 30, 2026.</t>
  </si>
  <si>
    <t>HR-004</t>
  </si>
  <si>
    <t>Authentication</t>
  </si>
  <si>
    <t>SSH access to production servers without MFA | servers have ePHI-permissioned IAM roles. Compromised SSH key = ePHI access.</t>
  </si>
  <si>
    <t>External Attacker / Insider</t>
  </si>
  <si>
    <t>MFA on Okta SSO tools and AWS console | SSH excluded</t>
  </si>
  <si>
    <t>Enforce MFA for SSH via Teleport | June 30, 2026.</t>
  </si>
  <si>
    <t>HR-005</t>
  </si>
  <si>
    <t>Workstation Security</t>
  </si>
  <si>
    <t>9 ePHI-access developer laptops not enrolled in MDM | FileVault unconfirmed, no EDR, no remote wipe.</t>
  </si>
  <si>
    <t>Lost/Stolen Device / Insider</t>
  </si>
  <si>
    <t>CrowdStrike and Jamf on managed devices | 9 ePHI-access laptops excluded</t>
  </si>
  <si>
    <t>CISO / IT Ops</t>
  </si>
  <si>
    <t>Enroll 9 ePHI-access laptops in Jamf MDM | BAA execution prerequisite | June 30, 2026.</t>
  </si>
  <si>
    <t>HR-006</t>
  </si>
  <si>
    <t>Workforce Training</t>
  </si>
  <si>
    <t>No HIPAA-specific training | 9 ePHI-handling staff unaware of HIPAA obligations, minimum necessary standard, and breach reporting.</t>
  </si>
  <si>
    <t>Workforce / Insider</t>
  </si>
  <si>
    <t>General security awareness training (KnowBe4) | no HIPAA module</t>
  </si>
  <si>
    <t>CISO / CPO</t>
  </si>
  <si>
    <t>Develop and deliver HIPAA training module | 100% completion before BAA execution.</t>
  </si>
  <si>
    <t>HR-007</t>
  </si>
  <si>
    <t>Minimum Necessary</t>
  </si>
  <si>
    <t>4 staff with no ePHI business need have analytics-prod-read IAM access | violates minimum necessary standard.</t>
  </si>
  <si>
    <t>Insider / Unauthorized Access</t>
  </si>
  <si>
    <t>Role-based IAM access | ePHI role over-assigned</t>
  </si>
  <si>
    <t>CISO / IAM</t>
  </si>
  <si>
    <t>Revoke ePHI access for 4 staff | June 15, 2026.</t>
  </si>
  <si>
    <t>HR-008</t>
  </si>
  <si>
    <t>§164.312(a)(2)(ii)</t>
  </si>
  <si>
    <t>Emergency Access</t>
  </si>
  <si>
    <t>Shared Snowflake admin credential in LastPass | no audit trail for emergency ePHI access, violates unique user identification.</t>
  </si>
  <si>
    <t>Insider / Privilege Abuse</t>
  </si>
  <si>
    <t>LastPass shared credential | no PAM, no session recording</t>
  </si>
  <si>
    <t>Migrate to AWS Secrets Manager with dual-person authorization and session logging.</t>
  </si>
  <si>
    <t>HR-009</t>
  </si>
  <si>
    <t>Audit Logs</t>
  </si>
  <si>
    <t>Databricks audit log retention only 90 days | ePHI access logs should be retained for 6 years per HIPAA documentation standard.</t>
  </si>
  <si>
    <t>HHS OCR Investigation</t>
  </si>
  <si>
    <t>CloudTrail and Snowflake logs 1 year | Databricks 90 days</t>
  </si>
  <si>
    <t>SOC Manager</t>
  </si>
  <si>
    <t>Extend Databricks log retention to 1 year minimum | June 30, 2026.</t>
  </si>
  <si>
    <t>HR-010</t>
  </si>
  <si>
    <t>ePHI Termination</t>
  </si>
  <si>
    <t>No procedure for ePHI return or destruction on BAA termination | required in BAA template and by §164.308(b)(1).</t>
  </si>
  <si>
    <t>BAA Termination / Regulatory</t>
  </si>
  <si>
    <t>AWS lifecycle policies for ongoing retention | termination not covered</t>
  </si>
  <si>
    <t>Document ePHI termination procedure | June 30, 2026.</t>
  </si>
  <si>
    <t>HR-011</t>
  </si>
  <si>
    <t>Remote Work ePHI</t>
  </si>
  <si>
    <t>4 ePHI-access staff regularly work remotely without VPN | ePHI potentially transmitted over unsecured public Wi-Fi.</t>
  </si>
  <si>
    <t>Network Eavesdropping / MITM</t>
  </si>
  <si>
    <t>TLS encryption in transit | VPN not enforced for remote access</t>
  </si>
  <si>
    <t>Update AUP | VPN required for remote ePHI access. June 30, 2026.</t>
  </si>
  <si>
    <t>HR-012</t>
  </si>
  <si>
    <t>Policy Documentation</t>
  </si>
  <si>
    <t>No dedicated HIPAA Security Policy | general policy has one-paragraph HIPAA reference insufficient for Security Rule compliance.</t>
  </si>
  <si>
    <t>HHS OCR Audit</t>
  </si>
  <si>
    <t>General security policy v2.1 | HIPAA section minimal</t>
  </si>
  <si>
    <t>Develop dedicated HIPAA Security Policy or comprehensive annex | July 15, 2026.</t>
  </si>
  <si>
    <t>HIPAA Security Rule Remediation Plan | CrossBorder Health Analytics Inc. | BAA Target: July 31, 2026</t>
  </si>
  <si>
    <t>Action ID</t>
  </si>
  <si>
    <t>Action Description</t>
  </si>
  <si>
    <t>Effort</t>
  </si>
  <si>
    <t>Status</t>
  </si>
  <si>
    <t>Evidence Required</t>
  </si>
  <si>
    <t>RA-001</t>
  </si>
  <si>
    <t>Conduct ePHI-scoped risk analysis: inventory all ePHI data flows, identify ePHI-specific threats, assess likelihood and impact, document risk levels using NIST SP 800-30.</t>
  </si>
  <si>
    <t>Open</t>
  </si>
  <si>
    <t>ePHI risk analysis report; NIST SP 800-30 methodology documentation; Security Officer sign-off</t>
  </si>
  <si>
    <t>RA-002</t>
  </si>
  <si>
    <t>Update IRP to include HIPAA breach notification: 4-factor breach risk assessment, covered entity notification (60-day max), HHS OCR reporting procedure, BA-specific breach checklist.</t>
  </si>
  <si>
    <t>§164.308(a)(6); HITECH §13402</t>
  </si>
  <si>
    <t>Updated IRP with HIPAA section; breach response checklist; CLO sign-off</t>
  </si>
  <si>
    <t>RA-003</t>
  </si>
  <si>
    <t>HA-ADM-10; HA-ORG-02</t>
  </si>
  <si>
    <t>Execute BAAs with Snowflake, Databricks, and CloudLink Inc. before covered entity BAA execution with MidWest Health System.</t>
  </si>
  <si>
    <t>§164.308(b)(1); §164.314(a)(2)</t>
  </si>
  <si>
    <t>Executed Snowflake BAA; executed Databricks BAA; executed CloudLink Inc. BAA and service contract</t>
  </si>
  <si>
    <t>RA-004</t>
  </si>
  <si>
    <t>Enforce MFA for all SSH access to production servers via Teleport or equivalent infrastructure access platform. Revoke direct SSH key access once proxy is operational.</t>
  </si>
  <si>
    <t>Teleport or equivalent deployment documentation; SSH key revocation confirmation; MFA test evidence</t>
  </si>
  <si>
    <t>RA-005</t>
  </si>
  <si>
    <t>Enroll 9 ePHI-access developer laptops in Jamf MDM. Enforce FileVault, CrowdStrike, screen lock (5 min), and prohibited software policy via Jamf configuration profile.</t>
  </si>
  <si>
    <t>Jamf enrollment confirmation for 9 devices; FileVault compliance dashboard; CrowdStrike deployment confirmation</t>
  </si>
  <si>
    <t>RA-006</t>
  </si>
  <si>
    <t>Develop treatment plans for 3 open ePHI-related risks (ePHI in transit controls, encryption key management, developer ePHI access). Implement ePHI-specific quarterly risk review.</t>
  </si>
  <si>
    <t>Risk treatment plans for 3 open risks; quarterly review schedule; Security Officer sign-off</t>
  </si>
  <si>
    <t>RA-007</t>
  </si>
  <si>
    <t>Develop and deliver HIPAA-specific training module for all ePHI-handling staff: ePHI definition, minimum necessary, breach recognition, BA obligations. Achieve 100% completion before BAA.</t>
  </si>
  <si>
    <t>HIPAA training module content; KnowBe4 100% completion report for ePHI-access staff</t>
  </si>
  <si>
    <t>RA-008</t>
  </si>
  <si>
    <t>Revoke ePHI access (analytics-prod-read role) for 4 staff members with no documented business need. Document business justification for remaining 7 ePHI access users.</t>
  </si>
  <si>
    <t>IAM access revocation confirmation for 4 users; updated access justification documentation; Security Officer sign-off</t>
  </si>
  <si>
    <t>RA-009</t>
  </si>
  <si>
    <t>Document emergency ePHI access procedure. Migrate Snowflake emergency credentials from LastPass to AWS Secrets Manager with dual-person authorization and session recording.</t>
  </si>
  <si>
    <t>Emergency access procedure document; AWS Secrets Manager configuration; dual-person auth test evidence</t>
  </si>
  <si>
    <t>RA-010</t>
  </si>
  <si>
    <t>Extend Databricks audit log retention to minimum 1 year. Evaluate 6-year archival to S3 cold storage for HIPAA documentation compliance.</t>
  </si>
  <si>
    <t>Databricks audit log retention configuration; S3 archival pipeline (if implemented); retention policy update</t>
  </si>
  <si>
    <t>RA-011</t>
  </si>
  <si>
    <t>Document ePHI return or destruction procedure on BAA termination: export to covered entity, delete from all AWS services, obtain certificate of deletion, notify covered entity.</t>
  </si>
  <si>
    <t>ePHI termination procedure document; CLO sign-off; inclusion in BAA documentation package</t>
  </si>
  <si>
    <t>RA-012</t>
  </si>
  <si>
    <t>Update Acceptable Use Policy with ePHI-specific workstation provisions: VPN required for remote ePHI access, screen lock requirement, prohibition on local ePHI storage and printing.</t>
  </si>
  <si>
    <t>Updated AUP with ePHI section; staff acknowledgement records</t>
  </si>
  <si>
    <t>RA-013</t>
  </si>
  <si>
    <t>Develop dedicated HIPAA Security Policy addressing all Security Rule safeguards applicable to CrossBorder as a Business Associate.</t>
  </si>
  <si>
    <t>HIPAA Security Policy document; Privacy Officer and CLO sign-off</t>
  </si>
  <si>
    <t>RA-014</t>
  </si>
  <si>
    <t>Execute BAA with MidWest Health System once all BAA blocker findings are closed. Retain executed BAA for 6 years.</t>
  </si>
  <si>
    <t>Executed BAA with MidWest Health System; 6-year retention confirmed in document management system</t>
  </si>
  <si>
    <t>RA-015</t>
  </si>
  <si>
    <t>Implement change-triggered security evaluation process: any new ePHI source, new subcontractor, or material technology change must trigger formal security review within 30 days.</t>
  </si>
  <si>
    <t>§164.308(a)(8)</t>
  </si>
  <si>
    <t>Change-triggered evaluation SOP; Security Officer sign-off</t>
  </si>
  <si>
    <t>RA-016</t>
  </si>
  <si>
    <t>Enable S3 Object Lock (WORM) on all ePHI S3 buckets. Enable Snowflake Time Travel (90 days) for ePHI tables.</t>
  </si>
  <si>
    <t>S3 Object Lock configuration confirmation; Snowflake Time Travel configuration</t>
  </si>
  <si>
    <t>RA-017</t>
  </si>
  <si>
    <t>Build comprehensive HIPAA documentation package for BAA execution: risk analysis, security policy, training records, access review records, subcontractor BAAs, IRP, contingency plan.</t>
  </si>
  <si>
    <t>Complete HIPAA documentation package; Privacy Officer and CLO sign-off; ready for MidWest Health System due diligence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</si>
</sst>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FFFFFF"/>
      <name val="Calibri"/>
      <charset val="1"/>
    </font>
    <font>
      <i/>
      <sz val="9"/>
      <color rgb="FF9DBDD4"/>
      <name val="Calibri"/>
      <charset val="1"/>
    </font>
    <font>
      <b/>
      <sz val="9"/>
      <color rgb="FF0C1A2E"/>
      <name val="Calibri"/>
      <charset val="1"/>
    </font>
    <font>
      <sz val="9"/>
      <color rgb="FF0C1A2E"/>
      <name val="Calibri"/>
      <charset val="1"/>
    </font>
    <font>
      <b/>
      <sz val="9"/>
      <color rgb="FFFFFFFF"/>
      <name val="Calibri"/>
      <charset val="1"/>
    </font>
    <font>
      <b/>
      <sz val="8"/>
      <color rgb="FFFFFFFF"/>
      <name val="Calibri"/>
      <charset val="1"/>
    </font>
    <font>
      <b/>
      <sz val="13"/>
      <color rgb="FF2E7D32"/>
      <name val="Calibri"/>
      <charset val="1"/>
    </font>
    <font>
      <b/>
      <sz val="12"/>
      <color rgb="FFFFFFFF"/>
      <name val="Calibri"/>
      <charset val="1"/>
    </font>
    <font>
      <i/>
      <sz val="8"/>
      <color rgb="FF9DBDD4"/>
      <name val="Calibri"/>
      <charset val="1"/>
    </font>
  </fonts>
  <fills count="19">
    <fill>
      <patternFill patternType="none"/>
    </fill>
    <fill>
      <patternFill patternType="gray125"/>
    </fill>
    <fill>
      <patternFill patternType="solid">
        <fgColor rgb="FF1A2E4A"/>
        <bgColor rgb="FF243D60"/>
      </patternFill>
    </fill>
    <fill>
      <patternFill patternType="solid">
        <fgColor rgb="FF243D60"/>
        <bgColor rgb="FF2E4C76"/>
      </patternFill>
    </fill>
    <fill>
      <patternFill patternType="solid">
        <fgColor rgb="FFE2EAF4"/>
        <bgColor rgb="FFE3F2FD"/>
      </patternFill>
    </fill>
    <fill>
      <patternFill patternType="solid">
        <fgColor rgb="FFFFFFFF"/>
        <bgColor rgb="FFFFF8E1"/>
      </patternFill>
    </fill>
    <fill>
      <patternFill patternType="solid">
        <fgColor rgb="FFF0F4FA"/>
        <bgColor rgb="FFE3F2FD"/>
      </patternFill>
    </fill>
    <fill>
      <patternFill patternType="solid">
        <fgColor rgb="FF2E4C76"/>
        <bgColor rgb="FF243D60"/>
      </patternFill>
    </fill>
    <fill>
      <patternFill patternType="solid">
        <fgColor rgb="FFE6F4EA"/>
        <bgColor rgb="FFE3F2FD"/>
      </patternFill>
    </fill>
    <fill>
      <patternFill patternType="solid">
        <fgColor rgb="FFE3F2FD"/>
        <bgColor rgb="FFE6F4EA"/>
      </patternFill>
    </fill>
    <fill>
      <patternFill patternType="solid">
        <fgColor rgb="FF99CC00"/>
        <bgColor rgb="FFFFBB33"/>
      </patternFill>
    </fill>
    <fill>
      <patternFill patternType="solid">
        <fgColor rgb="FFFEF3CD"/>
        <bgColor rgb="FFFFF3CD"/>
      </patternFill>
    </fill>
    <fill>
      <patternFill patternType="solid">
        <fgColor rgb="FFFF4444"/>
        <bgColor rgb="FFFF8080"/>
      </patternFill>
    </fill>
    <fill>
      <patternFill patternType="solid">
        <fgColor rgb="FFFFE0E0"/>
        <bgColor rgb="FFFDECEC"/>
      </patternFill>
    </fill>
    <fill>
      <patternFill patternType="solid">
        <fgColor rgb="FFFFBB33"/>
        <bgColor rgb="FFFF9900"/>
      </patternFill>
    </fill>
    <fill>
      <patternFill patternType="solid">
        <fgColor rgb="FFFFFF88"/>
        <bgColor rgb="FFFFF3CD"/>
      </patternFill>
    </fill>
    <fill>
      <patternFill patternType="solid">
        <fgColor rgb="FFFDECEC"/>
        <bgColor rgb="FFFFF8E1"/>
      </patternFill>
    </fill>
    <fill>
      <patternFill patternType="solid">
        <fgColor rgb="FFFFF3CD"/>
        <bgColor rgb="FFFEF3CD"/>
      </patternFill>
    </fill>
    <fill>
      <patternFill patternType="solid">
        <fgColor rgb="FFFFF8E1"/>
        <bgColor rgb="FFFFF3CD"/>
      </patternFill>
    </fill>
  </fills>
  <borders count="3">
    <border>
      <left/>
      <right/>
      <top/>
      <bottom/>
      <diagonal/>
    </border>
    <border>
      <left style="thin">
        <color rgb="FFB0C4D8"/>
      </left>
      <right style="thin">
        <color rgb="FFB0C4D8"/>
      </right>
      <top style="thin">
        <color rgb="FFB0C4D8"/>
      </top>
      <bottom style="thin">
        <color rgb="FFB0C4D8"/>
      </bottom>
      <diagonal/>
    </border>
    <border>
      <left style="thin">
        <color rgb="FFB0C4D8"/>
      </left>
      <right/>
      <top style="thin">
        <color rgb="FFB0C4D8"/>
      </top>
      <bottom style="thin">
        <color rgb="FFB0C4D8"/>
      </bottom>
      <diagonal/>
    </border>
  </borders>
  <cellStyleXfs count="1">
    <xf numFmtId="0" fontId="0" fillId="0" borderId="0"/>
  </cellStyleXfs>
  <cellXfs count="33">
    <xf numFmtId="0" fontId="0" fillId="0" borderId="0" xfId="0"/>
    <xf numFmtId="0" fontId="5" fillId="3" borderId="0" xfId="0" applyFont="1" applyFill="1" applyAlignment="1">
      <alignment horizontal="left" vertical="center"/>
    </xf>
    <xf numFmtId="0" fontId="9" fillId="3" borderId="0" xfId="0" applyFont="1" applyFill="1" applyAlignment="1">
      <alignment horizontal="center" vertical="center" wrapText="1"/>
    </xf>
    <xf numFmtId="0" fontId="8" fillId="2" borderId="0" xfId="0" applyFont="1" applyFill="1" applyAlignment="1">
      <alignment horizontal="center" vertical="center" wrapText="1"/>
    </xf>
    <xf numFmtId="0" fontId="5" fillId="2" borderId="0" xfId="0" applyFont="1" applyFill="1" applyAlignment="1">
      <alignment horizontal="center" vertical="center" wrapText="1"/>
    </xf>
    <xf numFmtId="0" fontId="4" fillId="5" borderId="2" xfId="0" applyFont="1" applyFill="1" applyBorder="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4"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9" fontId="7" fillId="8"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4" fillId="13"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3CD"/>
      <rgbColor rgb="FFFF00FF"/>
      <rgbColor rgb="FF00FFFF"/>
      <rgbColor rgb="FF800000"/>
      <rgbColor rgb="FF008000"/>
      <rgbColor rgb="FF000080"/>
      <rgbColor rgb="FF808000"/>
      <rgbColor rgb="FF800080"/>
      <rgbColor rgb="FF008080"/>
      <rgbColor rgb="FFB0C4D8"/>
      <rgbColor rgb="FF808080"/>
      <rgbColor rgb="FF9999FF"/>
      <rgbColor rgb="FF993366"/>
      <rgbColor rgb="FFFFF8E1"/>
      <rgbColor rgb="FFE3F2FD"/>
      <rgbColor rgb="FF660066"/>
      <rgbColor rgb="FFFF8080"/>
      <rgbColor rgb="FF0066CC"/>
      <rgbColor rgb="FFF0F4FA"/>
      <rgbColor rgb="FF000080"/>
      <rgbColor rgb="FFFF00FF"/>
      <rgbColor rgb="FFFEF3CD"/>
      <rgbColor rgb="FF00FFFF"/>
      <rgbColor rgb="FF800080"/>
      <rgbColor rgb="FF800000"/>
      <rgbColor rgb="FF008080"/>
      <rgbColor rgb="FF0000FF"/>
      <rgbColor rgb="FF00CCFF"/>
      <rgbColor rgb="FFE6F4EA"/>
      <rgbColor rgb="FFE2EAF4"/>
      <rgbColor rgb="FFFFFF88"/>
      <rgbColor rgb="FF9DBDD4"/>
      <rgbColor rgb="FFFDECEC"/>
      <rgbColor rgb="FFCC99FF"/>
      <rgbColor rgb="FFFFE0E0"/>
      <rgbColor rgb="FF3366FF"/>
      <rgbColor rgb="FF33CCCC"/>
      <rgbColor rgb="FF99CC00"/>
      <rgbColor rgb="FFFFBB33"/>
      <rgbColor rgb="FFFF9900"/>
      <rgbColor rgb="FFFF4444"/>
      <rgbColor rgb="FF666699"/>
      <rgbColor rgb="FF969696"/>
      <rgbColor rgb="FF243D60"/>
      <rgbColor rgb="FF2E7D32"/>
      <rgbColor rgb="FF0C1A2E"/>
      <rgbColor rgb="FF333300"/>
      <rgbColor rgb="FF993300"/>
      <rgbColor rgb="FF993366"/>
      <rgbColor rgb="FF2E4C76"/>
      <rgbColor rgb="FF1A2E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showGridLines="0" tabSelected="1" zoomScaleNormal="100" workbookViewId="0">
      <selection sqref="A1:D1"/>
    </sheetView>
  </sheetViews>
  <sheetFormatPr defaultColWidth="8.6640625" defaultRowHeight="14.4" x14ac:dyDescent="0.3"/>
  <cols>
    <col min="1" max="1" width="30" customWidth="1"/>
    <col min="2" max="2" width="44" customWidth="1"/>
    <col min="3" max="3" width="18" customWidth="1"/>
    <col min="4" max="4" width="14" customWidth="1"/>
  </cols>
  <sheetData>
    <row r="1" spans="1:4" ht="36" customHeight="1" x14ac:dyDescent="0.3">
      <c r="A1" s="7" t="s">
        <v>0</v>
      </c>
      <c r="B1" s="7"/>
      <c r="C1" s="7"/>
      <c r="D1" s="7"/>
    </row>
    <row r="2" spans="1:4" ht="18" customHeight="1" x14ac:dyDescent="0.3">
      <c r="A2" s="6" t="s">
        <v>1</v>
      </c>
      <c r="B2" s="6"/>
      <c r="C2" s="6"/>
      <c r="D2" s="6"/>
    </row>
    <row r="4" spans="1:4" ht="21.75" customHeight="1" x14ac:dyDescent="0.3">
      <c r="A4" s="8" t="s">
        <v>2</v>
      </c>
      <c r="B4" s="5" t="s">
        <v>3</v>
      </c>
      <c r="C4" s="5"/>
      <c r="D4" s="5"/>
    </row>
    <row r="5" spans="1:4" ht="21.75" customHeight="1" x14ac:dyDescent="0.3">
      <c r="A5" s="8" t="s">
        <v>4</v>
      </c>
      <c r="B5" s="5" t="s">
        <v>5</v>
      </c>
      <c r="C5" s="5"/>
      <c r="D5" s="5"/>
    </row>
    <row r="6" spans="1:4" ht="21.75" customHeight="1" x14ac:dyDescent="0.3">
      <c r="A6" s="8" t="s">
        <v>6</v>
      </c>
      <c r="B6" s="5" t="s">
        <v>7</v>
      </c>
      <c r="C6" s="5"/>
      <c r="D6" s="5"/>
    </row>
    <row r="7" spans="1:4" ht="21.75" customHeight="1" x14ac:dyDescent="0.3">
      <c r="A7" s="8" t="s">
        <v>8</v>
      </c>
      <c r="B7" s="5" t="s">
        <v>9</v>
      </c>
      <c r="C7" s="5"/>
      <c r="D7" s="5"/>
    </row>
    <row r="8" spans="1:4" ht="21.75" customHeight="1" x14ac:dyDescent="0.3">
      <c r="A8" s="8" t="s">
        <v>10</v>
      </c>
      <c r="B8" s="5" t="s">
        <v>11</v>
      </c>
      <c r="C8" s="5"/>
      <c r="D8" s="5"/>
    </row>
    <row r="9" spans="1:4" ht="21.75" customHeight="1" x14ac:dyDescent="0.3">
      <c r="A9" s="8" t="s">
        <v>12</v>
      </c>
      <c r="B9" s="5" t="s">
        <v>13</v>
      </c>
      <c r="C9" s="5"/>
      <c r="D9" s="5"/>
    </row>
    <row r="10" spans="1:4" ht="21.75" customHeight="1" x14ac:dyDescent="0.3">
      <c r="A10" s="8" t="s">
        <v>14</v>
      </c>
      <c r="B10" s="5" t="s">
        <v>15</v>
      </c>
      <c r="C10" s="5"/>
      <c r="D10" s="5"/>
    </row>
    <row r="11" spans="1:4" ht="21.75" customHeight="1" x14ac:dyDescent="0.3">
      <c r="A11" s="8" t="s">
        <v>16</v>
      </c>
      <c r="B11" s="5" t="s">
        <v>17</v>
      </c>
      <c r="C11" s="5"/>
      <c r="D11" s="5"/>
    </row>
    <row r="12" spans="1:4" ht="21.75" customHeight="1" x14ac:dyDescent="0.3">
      <c r="A12" s="8" t="s">
        <v>18</v>
      </c>
      <c r="B12" s="5" t="s">
        <v>19</v>
      </c>
      <c r="C12" s="5"/>
      <c r="D12" s="5"/>
    </row>
    <row r="13" spans="1:4" ht="21.75" customHeight="1" x14ac:dyDescent="0.3">
      <c r="A13" s="8" t="s">
        <v>20</v>
      </c>
      <c r="B13" s="5" t="s">
        <v>21</v>
      </c>
      <c r="C13" s="5"/>
      <c r="D13" s="5"/>
    </row>
    <row r="14" spans="1:4" ht="21.75" customHeight="1" x14ac:dyDescent="0.3">
      <c r="A14" s="8" t="s">
        <v>22</v>
      </c>
      <c r="B14" s="5" t="s">
        <v>23</v>
      </c>
      <c r="C14" s="5"/>
      <c r="D14" s="5"/>
    </row>
    <row r="15" spans="1:4" ht="21.75" customHeight="1" x14ac:dyDescent="0.3">
      <c r="A15" s="8" t="s">
        <v>24</v>
      </c>
      <c r="B15" s="5" t="s">
        <v>25</v>
      </c>
      <c r="C15" s="5"/>
      <c r="D15" s="5"/>
    </row>
    <row r="16" spans="1:4" ht="21.75" customHeight="1" x14ac:dyDescent="0.3">
      <c r="A16" s="8" t="s">
        <v>26</v>
      </c>
      <c r="B16" s="5" t="s">
        <v>27</v>
      </c>
      <c r="C16" s="5"/>
      <c r="D16" s="5"/>
    </row>
    <row r="18" spans="1:4" ht="21.75" customHeight="1" x14ac:dyDescent="0.3">
      <c r="A18" s="4" t="s">
        <v>28</v>
      </c>
      <c r="B18" s="4"/>
      <c r="C18" s="4"/>
      <c r="D18" s="4"/>
    </row>
    <row r="19" spans="1:4" ht="21.75" customHeight="1" x14ac:dyDescent="0.3">
      <c r="A19" s="9" t="s">
        <v>29</v>
      </c>
      <c r="B19" s="9" t="s">
        <v>30</v>
      </c>
      <c r="C19" s="9" t="s">
        <v>31</v>
      </c>
      <c r="D19" s="9" t="s">
        <v>32</v>
      </c>
    </row>
    <row r="20" spans="1:4" ht="24" customHeight="1" x14ac:dyDescent="0.3">
      <c r="A20" s="10" t="s">
        <v>33</v>
      </c>
      <c r="B20" s="11" t="s">
        <v>34</v>
      </c>
      <c r="C20" s="11" t="s">
        <v>35</v>
      </c>
      <c r="D20" s="11" t="s">
        <v>36</v>
      </c>
    </row>
    <row r="21" spans="1:4" ht="24" customHeight="1" x14ac:dyDescent="0.3">
      <c r="A21" s="12" t="s">
        <v>37</v>
      </c>
      <c r="B21" s="13" t="s">
        <v>38</v>
      </c>
      <c r="C21" s="13" t="s">
        <v>39</v>
      </c>
      <c r="D21" s="13" t="s">
        <v>40</v>
      </c>
    </row>
    <row r="22" spans="1:4" ht="24" customHeight="1" x14ac:dyDescent="0.3">
      <c r="A22" s="10" t="s">
        <v>41</v>
      </c>
      <c r="B22" s="11" t="s">
        <v>42</v>
      </c>
      <c r="C22" s="11" t="s">
        <v>43</v>
      </c>
      <c r="D22" s="11" t="s">
        <v>36</v>
      </c>
    </row>
    <row r="23" spans="1:4" ht="24" customHeight="1" x14ac:dyDescent="0.3">
      <c r="A23" s="12" t="s">
        <v>44</v>
      </c>
      <c r="B23" s="13" t="s">
        <v>45</v>
      </c>
      <c r="C23" s="13" t="s">
        <v>46</v>
      </c>
      <c r="D23" s="13" t="s">
        <v>36</v>
      </c>
    </row>
    <row r="24" spans="1:4" ht="24" customHeight="1" x14ac:dyDescent="0.3">
      <c r="A24" s="10" t="s">
        <v>47</v>
      </c>
      <c r="B24" s="11" t="s">
        <v>48</v>
      </c>
      <c r="C24" s="11" t="s">
        <v>49</v>
      </c>
      <c r="D24" s="11" t="s">
        <v>40</v>
      </c>
    </row>
    <row r="26" spans="1:4" ht="21.75" customHeight="1" x14ac:dyDescent="0.3">
      <c r="A26" s="4" t="s">
        <v>50</v>
      </c>
      <c r="B26" s="4"/>
      <c r="C26" s="4"/>
      <c r="D26" s="4"/>
    </row>
    <row r="27" spans="1:4" ht="21.75" customHeight="1" x14ac:dyDescent="0.3">
      <c r="A27" s="9" t="s">
        <v>29</v>
      </c>
      <c r="B27" s="9" t="s">
        <v>51</v>
      </c>
      <c r="C27" s="9" t="s">
        <v>52</v>
      </c>
      <c r="D27" s="9" t="s">
        <v>53</v>
      </c>
    </row>
    <row r="28" spans="1:4" ht="19.5" customHeight="1" x14ac:dyDescent="0.3">
      <c r="A28" s="10" t="s">
        <v>33</v>
      </c>
      <c r="B28" s="14">
        <v>3</v>
      </c>
      <c r="C28" s="14">
        <v>7</v>
      </c>
      <c r="D28" s="14">
        <v>0</v>
      </c>
    </row>
    <row r="29" spans="1:4" ht="19.5" customHeight="1" x14ac:dyDescent="0.3">
      <c r="A29" s="12" t="s">
        <v>37</v>
      </c>
      <c r="B29" s="15">
        <v>4</v>
      </c>
      <c r="C29" s="15">
        <v>2</v>
      </c>
      <c r="D29" s="15">
        <v>0</v>
      </c>
    </row>
    <row r="30" spans="1:4" ht="19.5" customHeight="1" x14ac:dyDescent="0.3">
      <c r="A30" s="10" t="s">
        <v>41</v>
      </c>
      <c r="B30" s="14">
        <v>2</v>
      </c>
      <c r="C30" s="14">
        <v>5</v>
      </c>
      <c r="D30" s="14">
        <v>0</v>
      </c>
    </row>
    <row r="31" spans="1:4" ht="19.5" customHeight="1" x14ac:dyDescent="0.3">
      <c r="A31" s="12" t="s">
        <v>44</v>
      </c>
      <c r="B31" s="15">
        <v>0</v>
      </c>
      <c r="C31" s="15">
        <v>3</v>
      </c>
      <c r="D31" s="15">
        <v>0</v>
      </c>
    </row>
    <row r="32" spans="1:4" ht="19.5" customHeight="1" x14ac:dyDescent="0.3">
      <c r="A32" s="10" t="s">
        <v>54</v>
      </c>
      <c r="B32" s="14">
        <v>2</v>
      </c>
      <c r="C32" s="14">
        <v>2</v>
      </c>
      <c r="D32" s="14">
        <v>0</v>
      </c>
    </row>
    <row r="33" spans="1:4" ht="24" customHeight="1" x14ac:dyDescent="0.3">
      <c r="A33" s="16" t="s">
        <v>55</v>
      </c>
      <c r="B33" s="16">
        <f>SUM(B28:B32)</f>
        <v>11</v>
      </c>
      <c r="C33" s="16">
        <f>SUM(C28:C32)</f>
        <v>19</v>
      </c>
      <c r="D33" s="16">
        <f>SUM(D28:D32)</f>
        <v>0</v>
      </c>
    </row>
    <row r="35" spans="1:4" ht="21.75" customHeight="1" x14ac:dyDescent="0.3">
      <c r="A35" s="8" t="s">
        <v>56</v>
      </c>
      <c r="B35" s="17">
        <f>B33/(B33+C33)</f>
        <v>0.36666666666666664</v>
      </c>
    </row>
    <row r="37" spans="1:4" ht="21.75" customHeight="1" x14ac:dyDescent="0.3">
      <c r="A37" s="4" t="s">
        <v>57</v>
      </c>
      <c r="B37" s="4"/>
      <c r="C37" s="4"/>
      <c r="D37" s="4"/>
    </row>
    <row r="38" spans="1:4" ht="21.75" customHeight="1" x14ac:dyDescent="0.3">
      <c r="A38" s="9" t="s">
        <v>58</v>
      </c>
      <c r="B38" s="9" t="s">
        <v>59</v>
      </c>
      <c r="C38" s="9" t="s">
        <v>60</v>
      </c>
    </row>
    <row r="39" spans="1:4" ht="21.75" customHeight="1" x14ac:dyDescent="0.3">
      <c r="A39" s="10" t="s">
        <v>61</v>
      </c>
      <c r="B39" s="11" t="s">
        <v>62</v>
      </c>
      <c r="C39" s="11" t="s">
        <v>63</v>
      </c>
    </row>
    <row r="40" spans="1:4" ht="21.75" customHeight="1" x14ac:dyDescent="0.3">
      <c r="A40" s="12" t="s">
        <v>64</v>
      </c>
      <c r="B40" s="13" t="s">
        <v>65</v>
      </c>
      <c r="C40" s="13" t="s">
        <v>66</v>
      </c>
    </row>
  </sheetData>
  <mergeCells count="18">
    <mergeCell ref="A18:D18"/>
    <mergeCell ref="A26:D26"/>
    <mergeCell ref="A37:D37"/>
    <mergeCell ref="B12:D12"/>
    <mergeCell ref="B13:D13"/>
    <mergeCell ref="B14:D14"/>
    <mergeCell ref="B15:D15"/>
    <mergeCell ref="B16:D16"/>
    <mergeCell ref="B7:D7"/>
    <mergeCell ref="B8:D8"/>
    <mergeCell ref="B9:D9"/>
    <mergeCell ref="B10:D10"/>
    <mergeCell ref="B11:D11"/>
    <mergeCell ref="A1:D1"/>
    <mergeCell ref="A2:D2"/>
    <mergeCell ref="B4:D4"/>
    <mergeCell ref="B5:D5"/>
    <mergeCell ref="B6:D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4"/>
  <sheetViews>
    <sheetView showGridLines="0" zoomScaleNormal="100" workbookViewId="0">
      <pane ySplit="3" topLeftCell="A4" activePane="bottomLeft" state="frozen"/>
      <selection pane="bottomLeft"/>
    </sheetView>
  </sheetViews>
  <sheetFormatPr defaultColWidth="8.6640625" defaultRowHeight="14.4" x14ac:dyDescent="0.3"/>
  <cols>
    <col min="1" max="1" width="10" customWidth="1"/>
    <col min="2" max="2" width="14" customWidth="1"/>
    <col min="3" max="3" width="24" customWidth="1"/>
    <col min="4" max="4" width="11" customWidth="1"/>
    <col min="5" max="5" width="32" customWidth="1"/>
    <col min="6" max="6" width="30" customWidth="1"/>
    <col min="7" max="8" width="12" customWidth="1"/>
    <col min="9" max="9" width="28" customWidth="1"/>
    <col min="10" max="10" width="26" customWidth="1"/>
    <col min="11" max="11" width="32" customWidth="1"/>
    <col min="12" max="12" width="18" customWidth="1"/>
    <col min="13" max="13" width="13" customWidth="1"/>
    <col min="14" max="14" width="12" customWidth="1"/>
    <col min="15" max="15" width="10" customWidth="1"/>
  </cols>
  <sheetData>
    <row r="1" spans="1:15" ht="30" customHeight="1" x14ac:dyDescent="0.3">
      <c r="A1" s="3" t="s">
        <v>67</v>
      </c>
      <c r="B1" s="3"/>
      <c r="C1" s="3"/>
      <c r="D1" s="3"/>
      <c r="E1" s="3"/>
      <c r="F1" s="3"/>
      <c r="G1" s="3"/>
      <c r="H1" s="3"/>
      <c r="I1" s="3"/>
      <c r="J1" s="3"/>
      <c r="K1" s="3"/>
      <c r="L1" s="3"/>
      <c r="M1" s="3"/>
      <c r="N1" s="3"/>
      <c r="O1" s="3"/>
    </row>
    <row r="2" spans="1:15" ht="15.75" customHeight="1" x14ac:dyDescent="0.3">
      <c r="A2" s="2" t="s">
        <v>68</v>
      </c>
      <c r="B2" s="2"/>
      <c r="C2" s="2"/>
      <c r="D2" s="2"/>
      <c r="E2" s="2"/>
      <c r="F2" s="2"/>
      <c r="G2" s="2"/>
      <c r="H2" s="2"/>
      <c r="I2" s="2"/>
      <c r="J2" s="2"/>
      <c r="K2" s="2"/>
      <c r="L2" s="2"/>
      <c r="M2" s="2"/>
      <c r="N2" s="2"/>
      <c r="O2" s="2"/>
    </row>
    <row r="3" spans="1:15" ht="27.75" customHeight="1" x14ac:dyDescent="0.3">
      <c r="A3" s="18" t="s">
        <v>69</v>
      </c>
      <c r="B3" s="18" t="s">
        <v>70</v>
      </c>
      <c r="C3" s="18" t="s">
        <v>71</v>
      </c>
      <c r="D3" s="18" t="s">
        <v>58</v>
      </c>
      <c r="E3" s="18" t="s">
        <v>72</v>
      </c>
      <c r="F3" s="18" t="s">
        <v>73</v>
      </c>
      <c r="G3" s="18" t="s">
        <v>74</v>
      </c>
      <c r="H3" s="18" t="s">
        <v>75</v>
      </c>
      <c r="I3" s="18" t="s">
        <v>76</v>
      </c>
      <c r="J3" s="18" t="s">
        <v>77</v>
      </c>
      <c r="K3" s="18" t="s">
        <v>78</v>
      </c>
      <c r="L3" s="18" t="s">
        <v>79</v>
      </c>
      <c r="M3" s="18" t="s">
        <v>80</v>
      </c>
      <c r="N3" s="18" t="s">
        <v>81</v>
      </c>
      <c r="O3" s="18" t="s">
        <v>82</v>
      </c>
    </row>
    <row r="4" spans="1:15" ht="21.75" customHeight="1" x14ac:dyDescent="0.3">
      <c r="A4" s="1" t="s">
        <v>83</v>
      </c>
      <c r="B4" s="1"/>
      <c r="C4" s="1"/>
      <c r="D4" s="1"/>
      <c r="E4" s="1"/>
      <c r="F4" s="1"/>
      <c r="G4" s="1"/>
      <c r="H4" s="1"/>
      <c r="I4" s="1"/>
      <c r="J4" s="1"/>
      <c r="K4" s="1"/>
      <c r="L4" s="1"/>
      <c r="M4" s="1"/>
      <c r="N4" s="1"/>
      <c r="O4" s="1"/>
    </row>
    <row r="5" spans="1:15" ht="51.75" customHeight="1" x14ac:dyDescent="0.3">
      <c r="A5" s="12" t="s">
        <v>84</v>
      </c>
      <c r="B5" s="13" t="s">
        <v>85</v>
      </c>
      <c r="C5" s="13" t="s">
        <v>86</v>
      </c>
      <c r="D5" s="19" t="s">
        <v>61</v>
      </c>
      <c r="E5" s="13" t="s">
        <v>87</v>
      </c>
      <c r="F5" s="13" t="s">
        <v>88</v>
      </c>
      <c r="G5" s="20" t="s">
        <v>51</v>
      </c>
      <c r="H5" s="21" t="s">
        <v>89</v>
      </c>
      <c r="I5" s="13" t="s">
        <v>90</v>
      </c>
      <c r="J5" s="13" t="s">
        <v>91</v>
      </c>
      <c r="K5" s="13" t="s">
        <v>92</v>
      </c>
      <c r="L5" s="13" t="s">
        <v>93</v>
      </c>
      <c r="M5" s="13" t="s">
        <v>90</v>
      </c>
      <c r="N5" s="20" t="s">
        <v>94</v>
      </c>
      <c r="O5" s="13" t="s">
        <v>95</v>
      </c>
    </row>
    <row r="6" spans="1:15" ht="51.75" customHeight="1" x14ac:dyDescent="0.3">
      <c r="A6" s="10" t="s">
        <v>96</v>
      </c>
      <c r="B6" s="11" t="s">
        <v>85</v>
      </c>
      <c r="C6" s="11" t="s">
        <v>97</v>
      </c>
      <c r="D6" s="19" t="s">
        <v>61</v>
      </c>
      <c r="E6" s="11" t="s">
        <v>98</v>
      </c>
      <c r="F6" s="11" t="s">
        <v>99</v>
      </c>
      <c r="G6" s="22" t="s">
        <v>100</v>
      </c>
      <c r="H6" s="23" t="s">
        <v>36</v>
      </c>
      <c r="I6" s="11" t="s">
        <v>101</v>
      </c>
      <c r="J6" s="11" t="s">
        <v>102</v>
      </c>
      <c r="K6" s="11" t="s">
        <v>103</v>
      </c>
      <c r="L6" s="11" t="s">
        <v>104</v>
      </c>
      <c r="M6" s="11" t="s">
        <v>105</v>
      </c>
      <c r="N6" s="24" t="s">
        <v>106</v>
      </c>
      <c r="O6" s="11" t="s">
        <v>107</v>
      </c>
    </row>
    <row r="7" spans="1:15" ht="51.75" customHeight="1" x14ac:dyDescent="0.3">
      <c r="A7" s="12" t="s">
        <v>108</v>
      </c>
      <c r="B7" s="13" t="s">
        <v>85</v>
      </c>
      <c r="C7" s="13" t="s">
        <v>109</v>
      </c>
      <c r="D7" s="19" t="s">
        <v>61</v>
      </c>
      <c r="E7" s="13" t="s">
        <v>110</v>
      </c>
      <c r="F7" s="13" t="s">
        <v>111</v>
      </c>
      <c r="G7" s="22" t="s">
        <v>100</v>
      </c>
      <c r="H7" s="25" t="s">
        <v>40</v>
      </c>
      <c r="I7" s="13" t="s">
        <v>112</v>
      </c>
      <c r="J7" s="13" t="s">
        <v>113</v>
      </c>
      <c r="K7" s="13" t="s">
        <v>114</v>
      </c>
      <c r="L7" s="13" t="s">
        <v>104</v>
      </c>
      <c r="M7" s="13" t="s">
        <v>115</v>
      </c>
      <c r="N7" s="24" t="s">
        <v>106</v>
      </c>
      <c r="O7" s="13" t="s">
        <v>116</v>
      </c>
    </row>
    <row r="8" spans="1:15" ht="51.75" customHeight="1" x14ac:dyDescent="0.3">
      <c r="A8" s="10" t="s">
        <v>117</v>
      </c>
      <c r="B8" s="11" t="s">
        <v>118</v>
      </c>
      <c r="C8" s="11" t="s">
        <v>119</v>
      </c>
      <c r="D8" s="22" t="s">
        <v>64</v>
      </c>
      <c r="E8" s="11" t="s">
        <v>120</v>
      </c>
      <c r="F8" s="11" t="s">
        <v>121</v>
      </c>
      <c r="G8" s="22" t="s">
        <v>100</v>
      </c>
      <c r="H8" s="25" t="s">
        <v>40</v>
      </c>
      <c r="I8" s="11" t="s">
        <v>122</v>
      </c>
      <c r="J8" s="11" t="s">
        <v>123</v>
      </c>
      <c r="K8" s="11" t="s">
        <v>124</v>
      </c>
      <c r="L8" s="11" t="s">
        <v>125</v>
      </c>
      <c r="M8" s="11" t="s">
        <v>126</v>
      </c>
      <c r="N8" s="24" t="s">
        <v>106</v>
      </c>
      <c r="O8" s="11" t="s">
        <v>127</v>
      </c>
    </row>
    <row r="9" spans="1:15" ht="51.75" customHeight="1" x14ac:dyDescent="0.3">
      <c r="A9" s="12" t="s">
        <v>128</v>
      </c>
      <c r="B9" s="13" t="s">
        <v>118</v>
      </c>
      <c r="C9" s="13" t="s">
        <v>129</v>
      </c>
      <c r="D9" s="22" t="s">
        <v>64</v>
      </c>
      <c r="E9" s="13" t="s">
        <v>130</v>
      </c>
      <c r="F9" s="13" t="s">
        <v>131</v>
      </c>
      <c r="G9" s="22" t="s">
        <v>100</v>
      </c>
      <c r="H9" s="25" t="s">
        <v>40</v>
      </c>
      <c r="I9" s="13" t="s">
        <v>132</v>
      </c>
      <c r="J9" s="13" t="s">
        <v>133</v>
      </c>
      <c r="K9" s="13" t="s">
        <v>134</v>
      </c>
      <c r="L9" s="13" t="s">
        <v>135</v>
      </c>
      <c r="M9" s="13" t="s">
        <v>115</v>
      </c>
      <c r="N9" s="24" t="s">
        <v>106</v>
      </c>
      <c r="O9" s="13" t="s">
        <v>136</v>
      </c>
    </row>
    <row r="10" spans="1:15" ht="51.75" customHeight="1" x14ac:dyDescent="0.3">
      <c r="A10" s="10" t="s">
        <v>137</v>
      </c>
      <c r="B10" s="11" t="s">
        <v>138</v>
      </c>
      <c r="C10" s="11" t="s">
        <v>139</v>
      </c>
      <c r="D10" s="22" t="s">
        <v>64</v>
      </c>
      <c r="E10" s="11" t="s">
        <v>140</v>
      </c>
      <c r="F10" s="11" t="s">
        <v>141</v>
      </c>
      <c r="G10" s="22" t="s">
        <v>100</v>
      </c>
      <c r="H10" s="26" t="s">
        <v>142</v>
      </c>
      <c r="I10" s="11" t="s">
        <v>143</v>
      </c>
      <c r="J10" s="11" t="s">
        <v>144</v>
      </c>
      <c r="K10" s="11" t="s">
        <v>145</v>
      </c>
      <c r="L10" s="11" t="s">
        <v>135</v>
      </c>
      <c r="M10" s="11" t="s">
        <v>105</v>
      </c>
      <c r="N10" s="22" t="s">
        <v>146</v>
      </c>
      <c r="O10" s="11" t="s">
        <v>147</v>
      </c>
    </row>
    <row r="11" spans="1:15" ht="51.75" customHeight="1" x14ac:dyDescent="0.3">
      <c r="A11" s="12" t="s">
        <v>148</v>
      </c>
      <c r="B11" s="13" t="s">
        <v>149</v>
      </c>
      <c r="C11" s="13" t="s">
        <v>150</v>
      </c>
      <c r="D11" s="19" t="s">
        <v>61</v>
      </c>
      <c r="E11" s="13" t="s">
        <v>151</v>
      </c>
      <c r="F11" s="13" t="s">
        <v>152</v>
      </c>
      <c r="G11" s="27" t="s">
        <v>153</v>
      </c>
      <c r="H11" s="23" t="s">
        <v>36</v>
      </c>
      <c r="I11" s="13" t="s">
        <v>154</v>
      </c>
      <c r="J11" s="13" t="s">
        <v>155</v>
      </c>
      <c r="K11" s="13" t="s">
        <v>156</v>
      </c>
      <c r="L11" s="13" t="s">
        <v>157</v>
      </c>
      <c r="M11" s="13" t="s">
        <v>105</v>
      </c>
      <c r="N11" s="24" t="s">
        <v>106</v>
      </c>
      <c r="O11" s="13" t="s">
        <v>158</v>
      </c>
    </row>
    <row r="12" spans="1:15" ht="51.75" customHeight="1" x14ac:dyDescent="0.3">
      <c r="A12" s="10" t="s">
        <v>159</v>
      </c>
      <c r="B12" s="11" t="s">
        <v>160</v>
      </c>
      <c r="C12" s="11" t="s">
        <v>161</v>
      </c>
      <c r="D12" s="19" t="s">
        <v>61</v>
      </c>
      <c r="E12" s="11" t="s">
        <v>162</v>
      </c>
      <c r="F12" s="11" t="s">
        <v>163</v>
      </c>
      <c r="G12" s="20" t="s">
        <v>51</v>
      </c>
      <c r="H12" s="21" t="s">
        <v>89</v>
      </c>
      <c r="I12" s="11" t="s">
        <v>90</v>
      </c>
      <c r="J12" s="11" t="s">
        <v>164</v>
      </c>
      <c r="K12" s="11" t="s">
        <v>165</v>
      </c>
      <c r="L12" s="11" t="s">
        <v>166</v>
      </c>
      <c r="M12" s="11" t="s">
        <v>90</v>
      </c>
      <c r="N12" s="20" t="s">
        <v>94</v>
      </c>
      <c r="O12" s="11" t="s">
        <v>167</v>
      </c>
    </row>
    <row r="13" spans="1:15" ht="51.75" customHeight="1" x14ac:dyDescent="0.3">
      <c r="A13" s="12" t="s">
        <v>168</v>
      </c>
      <c r="B13" s="13" t="s">
        <v>169</v>
      </c>
      <c r="C13" s="13" t="s">
        <v>170</v>
      </c>
      <c r="D13" s="19" t="s">
        <v>61</v>
      </c>
      <c r="E13" s="13" t="s">
        <v>171</v>
      </c>
      <c r="F13" s="13" t="s">
        <v>172</v>
      </c>
      <c r="G13" s="22" t="s">
        <v>100</v>
      </c>
      <c r="H13" s="26" t="s">
        <v>142</v>
      </c>
      <c r="I13" s="13" t="s">
        <v>173</v>
      </c>
      <c r="J13" s="13" t="s">
        <v>174</v>
      </c>
      <c r="K13" s="13" t="s">
        <v>175</v>
      </c>
      <c r="L13" s="13" t="s">
        <v>104</v>
      </c>
      <c r="M13" s="13" t="s">
        <v>126</v>
      </c>
      <c r="N13" s="22" t="s">
        <v>146</v>
      </c>
      <c r="O13" s="13" t="s">
        <v>176</v>
      </c>
    </row>
    <row r="14" spans="1:15" ht="51.75" customHeight="1" x14ac:dyDescent="0.3">
      <c r="A14" s="10" t="s">
        <v>177</v>
      </c>
      <c r="B14" s="11" t="s">
        <v>178</v>
      </c>
      <c r="C14" s="11" t="s">
        <v>179</v>
      </c>
      <c r="D14" s="19" t="s">
        <v>61</v>
      </c>
      <c r="E14" s="11" t="s">
        <v>180</v>
      </c>
      <c r="F14" s="11" t="s">
        <v>181</v>
      </c>
      <c r="G14" s="27" t="s">
        <v>153</v>
      </c>
      <c r="H14" s="23" t="s">
        <v>36</v>
      </c>
      <c r="I14" s="11" t="s">
        <v>182</v>
      </c>
      <c r="J14" s="11" t="s">
        <v>183</v>
      </c>
      <c r="K14" s="11" t="s">
        <v>184</v>
      </c>
      <c r="L14" s="11" t="s">
        <v>185</v>
      </c>
      <c r="M14" s="11" t="s">
        <v>105</v>
      </c>
      <c r="N14" s="24" t="s">
        <v>106</v>
      </c>
      <c r="O14" s="11" t="s">
        <v>186</v>
      </c>
    </row>
    <row r="15" spans="1:15" ht="6" customHeight="1" x14ac:dyDescent="0.3"/>
    <row r="16" spans="1:15" ht="21.75" customHeight="1" x14ac:dyDescent="0.3">
      <c r="A16" s="1" t="s">
        <v>187</v>
      </c>
      <c r="B16" s="1"/>
      <c r="C16" s="1"/>
      <c r="D16" s="1"/>
      <c r="E16" s="1"/>
      <c r="F16" s="1"/>
      <c r="G16" s="1"/>
      <c r="H16" s="1"/>
      <c r="I16" s="1"/>
      <c r="J16" s="1"/>
      <c r="K16" s="1"/>
      <c r="L16" s="1"/>
      <c r="M16" s="1"/>
      <c r="N16" s="1"/>
      <c r="O16" s="1"/>
    </row>
    <row r="17" spans="1:15" ht="51.75" customHeight="1" x14ac:dyDescent="0.3">
      <c r="A17" s="12" t="s">
        <v>188</v>
      </c>
      <c r="B17" s="13" t="s">
        <v>189</v>
      </c>
      <c r="C17" s="13" t="s">
        <v>190</v>
      </c>
      <c r="D17" s="22" t="s">
        <v>64</v>
      </c>
      <c r="E17" s="13" t="s">
        <v>191</v>
      </c>
      <c r="F17" s="13" t="s">
        <v>192</v>
      </c>
      <c r="G17" s="22" t="s">
        <v>100</v>
      </c>
      <c r="H17" s="26" t="s">
        <v>142</v>
      </c>
      <c r="I17" s="13" t="s">
        <v>193</v>
      </c>
      <c r="J17" s="13" t="s">
        <v>194</v>
      </c>
      <c r="K17" s="13" t="s">
        <v>195</v>
      </c>
      <c r="L17" s="13" t="s">
        <v>196</v>
      </c>
      <c r="M17" s="13" t="s">
        <v>105</v>
      </c>
      <c r="N17" s="20" t="s">
        <v>94</v>
      </c>
      <c r="O17" s="13" t="s">
        <v>197</v>
      </c>
    </row>
    <row r="18" spans="1:15" ht="51.75" customHeight="1" x14ac:dyDescent="0.3">
      <c r="A18" s="10" t="s">
        <v>198</v>
      </c>
      <c r="B18" s="11" t="s">
        <v>199</v>
      </c>
      <c r="C18" s="11" t="s">
        <v>200</v>
      </c>
      <c r="D18" s="19" t="s">
        <v>61</v>
      </c>
      <c r="E18" s="11" t="s">
        <v>201</v>
      </c>
      <c r="F18" s="11" t="s">
        <v>202</v>
      </c>
      <c r="G18" s="22" t="s">
        <v>100</v>
      </c>
      <c r="H18" s="25" t="s">
        <v>40</v>
      </c>
      <c r="I18" s="11" t="s">
        <v>203</v>
      </c>
      <c r="J18" s="11" t="s">
        <v>204</v>
      </c>
      <c r="K18" s="11" t="s">
        <v>205</v>
      </c>
      <c r="L18" s="11" t="s">
        <v>125</v>
      </c>
      <c r="M18" s="11" t="s">
        <v>105</v>
      </c>
      <c r="N18" s="24" t="s">
        <v>106</v>
      </c>
      <c r="O18" s="11" t="s">
        <v>206</v>
      </c>
    </row>
    <row r="19" spans="1:15" ht="51.75" customHeight="1" x14ac:dyDescent="0.3">
      <c r="A19" s="12" t="s">
        <v>207</v>
      </c>
      <c r="B19" s="13" t="s">
        <v>208</v>
      </c>
      <c r="C19" s="13" t="s">
        <v>209</v>
      </c>
      <c r="D19" s="19" t="s">
        <v>61</v>
      </c>
      <c r="E19" s="13" t="s">
        <v>210</v>
      </c>
      <c r="F19" s="13" t="s">
        <v>211</v>
      </c>
      <c r="G19" s="22" t="s">
        <v>100</v>
      </c>
      <c r="H19" s="23" t="s">
        <v>36</v>
      </c>
      <c r="I19" s="13" t="s">
        <v>212</v>
      </c>
      <c r="J19" s="13" t="s">
        <v>213</v>
      </c>
      <c r="K19" s="13" t="s">
        <v>214</v>
      </c>
      <c r="L19" s="13" t="s">
        <v>215</v>
      </c>
      <c r="M19" s="13" t="s">
        <v>105</v>
      </c>
      <c r="N19" s="24" t="s">
        <v>106</v>
      </c>
      <c r="O19" s="13" t="s">
        <v>216</v>
      </c>
    </row>
    <row r="20" spans="1:15" ht="51.75" customHeight="1" x14ac:dyDescent="0.3">
      <c r="A20" s="10" t="s">
        <v>217</v>
      </c>
      <c r="B20" s="11" t="s">
        <v>218</v>
      </c>
      <c r="C20" s="11" t="s">
        <v>219</v>
      </c>
      <c r="D20" s="22" t="s">
        <v>64</v>
      </c>
      <c r="E20" s="11" t="s">
        <v>220</v>
      </c>
      <c r="F20" s="11" t="s">
        <v>221</v>
      </c>
      <c r="G20" s="22" t="s">
        <v>100</v>
      </c>
      <c r="H20" s="21" t="s">
        <v>89</v>
      </c>
      <c r="I20" s="11" t="s">
        <v>222</v>
      </c>
      <c r="J20" s="11" t="s">
        <v>223</v>
      </c>
      <c r="K20" s="11" t="s">
        <v>224</v>
      </c>
      <c r="L20" s="11" t="s">
        <v>104</v>
      </c>
      <c r="M20" s="11" t="s">
        <v>105</v>
      </c>
      <c r="N20" s="20" t="s">
        <v>94</v>
      </c>
      <c r="O20" s="11" t="s">
        <v>225</v>
      </c>
    </row>
    <row r="21" spans="1:15" ht="51.75" customHeight="1" x14ac:dyDescent="0.3">
      <c r="A21" s="12" t="s">
        <v>226</v>
      </c>
      <c r="B21" s="13" t="s">
        <v>227</v>
      </c>
      <c r="C21" s="13" t="s">
        <v>228</v>
      </c>
      <c r="D21" s="19" t="s">
        <v>61</v>
      </c>
      <c r="E21" s="13" t="s">
        <v>229</v>
      </c>
      <c r="F21" s="13" t="s">
        <v>230</v>
      </c>
      <c r="G21" s="22" t="s">
        <v>100</v>
      </c>
      <c r="H21" s="25" t="s">
        <v>40</v>
      </c>
      <c r="I21" s="13" t="s">
        <v>231</v>
      </c>
      <c r="J21" s="13" t="s">
        <v>232</v>
      </c>
      <c r="K21" s="13" t="s">
        <v>233</v>
      </c>
      <c r="L21" s="13" t="s">
        <v>157</v>
      </c>
      <c r="M21" s="13" t="s">
        <v>105</v>
      </c>
      <c r="N21" s="24" t="s">
        <v>106</v>
      </c>
      <c r="O21" s="13" t="s">
        <v>234</v>
      </c>
    </row>
    <row r="22" spans="1:15" ht="51.75" customHeight="1" x14ac:dyDescent="0.3">
      <c r="A22" s="10" t="s">
        <v>235</v>
      </c>
      <c r="B22" s="11" t="s">
        <v>236</v>
      </c>
      <c r="C22" s="11" t="s">
        <v>237</v>
      </c>
      <c r="D22" s="22" t="s">
        <v>64</v>
      </c>
      <c r="E22" s="11" t="s">
        <v>238</v>
      </c>
      <c r="F22" s="11" t="s">
        <v>239</v>
      </c>
      <c r="G22" s="20" t="s">
        <v>51</v>
      </c>
      <c r="H22" s="21" t="s">
        <v>89</v>
      </c>
      <c r="I22" s="11" t="s">
        <v>90</v>
      </c>
      <c r="J22" s="11" t="s">
        <v>240</v>
      </c>
      <c r="K22" s="11" t="s">
        <v>241</v>
      </c>
      <c r="L22" s="11" t="s">
        <v>104</v>
      </c>
      <c r="M22" s="11" t="s">
        <v>90</v>
      </c>
      <c r="N22" s="20" t="s">
        <v>94</v>
      </c>
      <c r="O22" s="11" t="s">
        <v>242</v>
      </c>
    </row>
    <row r="23" spans="1:15" ht="6" customHeight="1" x14ac:dyDescent="0.3"/>
    <row r="24" spans="1:15" ht="21.75" customHeight="1" x14ac:dyDescent="0.3">
      <c r="A24" s="1" t="s">
        <v>243</v>
      </c>
      <c r="B24" s="1"/>
      <c r="C24" s="1"/>
      <c r="D24" s="1"/>
      <c r="E24" s="1"/>
      <c r="F24" s="1"/>
      <c r="G24" s="1"/>
      <c r="H24" s="1"/>
      <c r="I24" s="1"/>
      <c r="J24" s="1"/>
      <c r="K24" s="1"/>
      <c r="L24" s="1"/>
      <c r="M24" s="1"/>
      <c r="N24" s="1"/>
      <c r="O24" s="1"/>
    </row>
    <row r="25" spans="1:15" ht="51.75" customHeight="1" x14ac:dyDescent="0.3">
      <c r="A25" s="12" t="s">
        <v>244</v>
      </c>
      <c r="B25" s="13" t="s">
        <v>245</v>
      </c>
      <c r="C25" s="13" t="s">
        <v>246</v>
      </c>
      <c r="D25" s="19" t="s">
        <v>61</v>
      </c>
      <c r="E25" s="13" t="s">
        <v>247</v>
      </c>
      <c r="F25" s="13" t="s">
        <v>248</v>
      </c>
      <c r="G25" s="20" t="s">
        <v>51</v>
      </c>
      <c r="H25" s="21" t="s">
        <v>89</v>
      </c>
      <c r="I25" s="13" t="s">
        <v>90</v>
      </c>
      <c r="J25" s="13" t="s">
        <v>249</v>
      </c>
      <c r="K25" s="13" t="s">
        <v>250</v>
      </c>
      <c r="L25" s="13" t="s">
        <v>251</v>
      </c>
      <c r="M25" s="13" t="s">
        <v>90</v>
      </c>
      <c r="N25" s="20" t="s">
        <v>94</v>
      </c>
      <c r="O25" s="13" t="s">
        <v>252</v>
      </c>
    </row>
    <row r="26" spans="1:15" ht="51.75" customHeight="1" x14ac:dyDescent="0.3">
      <c r="A26" s="10" t="s">
        <v>253</v>
      </c>
      <c r="B26" s="11" t="s">
        <v>245</v>
      </c>
      <c r="C26" s="11" t="s">
        <v>254</v>
      </c>
      <c r="D26" s="22" t="s">
        <v>64</v>
      </c>
      <c r="E26" s="11" t="s">
        <v>255</v>
      </c>
      <c r="F26" s="11" t="s">
        <v>256</v>
      </c>
      <c r="G26" s="22" t="s">
        <v>100</v>
      </c>
      <c r="H26" s="26" t="s">
        <v>142</v>
      </c>
      <c r="I26" s="11" t="s">
        <v>257</v>
      </c>
      <c r="J26" s="11" t="s">
        <v>258</v>
      </c>
      <c r="K26" s="11" t="s">
        <v>259</v>
      </c>
      <c r="L26" s="11" t="s">
        <v>260</v>
      </c>
      <c r="M26" s="11" t="s">
        <v>105</v>
      </c>
      <c r="N26" s="22" t="s">
        <v>146</v>
      </c>
      <c r="O26" s="11" t="s">
        <v>261</v>
      </c>
    </row>
    <row r="27" spans="1:15" ht="51.75" customHeight="1" x14ac:dyDescent="0.3">
      <c r="A27" s="12" t="s">
        <v>262</v>
      </c>
      <c r="B27" s="13" t="s">
        <v>245</v>
      </c>
      <c r="C27" s="13" t="s">
        <v>263</v>
      </c>
      <c r="D27" s="22" t="s">
        <v>64</v>
      </c>
      <c r="E27" s="13" t="s">
        <v>264</v>
      </c>
      <c r="F27" s="13" t="s">
        <v>265</v>
      </c>
      <c r="G27" s="20" t="s">
        <v>51</v>
      </c>
      <c r="H27" s="21" t="s">
        <v>89</v>
      </c>
      <c r="I27" s="13" t="s">
        <v>90</v>
      </c>
      <c r="J27" s="13" t="s">
        <v>266</v>
      </c>
      <c r="K27" s="13" t="s">
        <v>267</v>
      </c>
      <c r="L27" s="13" t="s">
        <v>268</v>
      </c>
      <c r="M27" s="13" t="s">
        <v>90</v>
      </c>
      <c r="N27" s="20" t="s">
        <v>94</v>
      </c>
      <c r="O27" s="13" t="s">
        <v>269</v>
      </c>
    </row>
    <row r="28" spans="1:15" ht="51.75" customHeight="1" x14ac:dyDescent="0.3">
      <c r="A28" s="10" t="s">
        <v>270</v>
      </c>
      <c r="B28" s="11" t="s">
        <v>271</v>
      </c>
      <c r="C28" s="11" t="s">
        <v>272</v>
      </c>
      <c r="D28" s="19" t="s">
        <v>61</v>
      </c>
      <c r="E28" s="11" t="s">
        <v>273</v>
      </c>
      <c r="F28" s="11" t="s">
        <v>274</v>
      </c>
      <c r="G28" s="27" t="s">
        <v>153</v>
      </c>
      <c r="H28" s="25" t="s">
        <v>40</v>
      </c>
      <c r="I28" s="11" t="s">
        <v>275</v>
      </c>
      <c r="J28" s="11" t="s">
        <v>276</v>
      </c>
      <c r="K28" s="11" t="s">
        <v>277</v>
      </c>
      <c r="L28" s="11" t="s">
        <v>157</v>
      </c>
      <c r="M28" s="11" t="s">
        <v>105</v>
      </c>
      <c r="N28" s="24" t="s">
        <v>106</v>
      </c>
      <c r="O28" s="11" t="s">
        <v>278</v>
      </c>
    </row>
    <row r="29" spans="1:15" ht="51.75" customHeight="1" x14ac:dyDescent="0.3">
      <c r="A29" s="12" t="s">
        <v>279</v>
      </c>
      <c r="B29" s="13" t="s">
        <v>280</v>
      </c>
      <c r="C29" s="13" t="s">
        <v>281</v>
      </c>
      <c r="D29" s="19" t="s">
        <v>61</v>
      </c>
      <c r="E29" s="13" t="s">
        <v>282</v>
      </c>
      <c r="F29" s="13" t="s">
        <v>283</v>
      </c>
      <c r="G29" s="22" t="s">
        <v>100</v>
      </c>
      <c r="H29" s="25" t="s">
        <v>40</v>
      </c>
      <c r="I29" s="13" t="s">
        <v>284</v>
      </c>
      <c r="J29" s="13" t="s">
        <v>285</v>
      </c>
      <c r="K29" s="13" t="s">
        <v>286</v>
      </c>
      <c r="L29" s="13" t="s">
        <v>287</v>
      </c>
      <c r="M29" s="13" t="s">
        <v>105</v>
      </c>
      <c r="N29" s="24" t="s">
        <v>106</v>
      </c>
      <c r="O29" s="13" t="s">
        <v>288</v>
      </c>
    </row>
    <row r="30" spans="1:15" ht="51.75" customHeight="1" x14ac:dyDescent="0.3">
      <c r="A30" s="10" t="s">
        <v>289</v>
      </c>
      <c r="B30" s="11" t="s">
        <v>290</v>
      </c>
      <c r="C30" s="11" t="s">
        <v>291</v>
      </c>
      <c r="D30" s="22" t="s">
        <v>64</v>
      </c>
      <c r="E30" s="11" t="s">
        <v>292</v>
      </c>
      <c r="F30" s="11" t="s">
        <v>293</v>
      </c>
      <c r="G30" s="22" t="s">
        <v>100</v>
      </c>
      <c r="H30" s="26" t="s">
        <v>142</v>
      </c>
      <c r="I30" s="11" t="s">
        <v>294</v>
      </c>
      <c r="J30" s="11" t="s">
        <v>295</v>
      </c>
      <c r="K30" s="11" t="s">
        <v>296</v>
      </c>
      <c r="L30" s="11" t="s">
        <v>268</v>
      </c>
      <c r="M30" s="11" t="s">
        <v>105</v>
      </c>
      <c r="N30" s="22" t="s">
        <v>146</v>
      </c>
      <c r="O30" s="11" t="s">
        <v>297</v>
      </c>
    </row>
    <row r="31" spans="1:15" ht="51.75" customHeight="1" x14ac:dyDescent="0.3">
      <c r="A31" s="12" t="s">
        <v>298</v>
      </c>
      <c r="B31" s="13" t="s">
        <v>299</v>
      </c>
      <c r="C31" s="13" t="s">
        <v>300</v>
      </c>
      <c r="D31" s="22" t="s">
        <v>64</v>
      </c>
      <c r="E31" s="13" t="s">
        <v>301</v>
      </c>
      <c r="F31" s="13" t="s">
        <v>302</v>
      </c>
      <c r="G31" s="22" t="s">
        <v>100</v>
      </c>
      <c r="H31" s="23" t="s">
        <v>36</v>
      </c>
      <c r="I31" s="13" t="s">
        <v>303</v>
      </c>
      <c r="J31" s="13" t="s">
        <v>304</v>
      </c>
      <c r="K31" s="13" t="s">
        <v>305</v>
      </c>
      <c r="L31" s="13" t="s">
        <v>260</v>
      </c>
      <c r="M31" s="13" t="s">
        <v>105</v>
      </c>
      <c r="N31" s="24" t="s">
        <v>106</v>
      </c>
      <c r="O31" s="13" t="s">
        <v>306</v>
      </c>
    </row>
    <row r="32" spans="1:15" ht="51.75" customHeight="1" x14ac:dyDescent="0.3">
      <c r="A32" s="10" t="s">
        <v>307</v>
      </c>
      <c r="B32" s="11" t="s">
        <v>308</v>
      </c>
      <c r="C32" s="11" t="s">
        <v>309</v>
      </c>
      <c r="D32" s="19" t="s">
        <v>61</v>
      </c>
      <c r="E32" s="11" t="s">
        <v>310</v>
      </c>
      <c r="F32" s="11" t="s">
        <v>311</v>
      </c>
      <c r="G32" s="20" t="s">
        <v>51</v>
      </c>
      <c r="H32" s="21" t="s">
        <v>89</v>
      </c>
      <c r="I32" s="11" t="s">
        <v>90</v>
      </c>
      <c r="J32" s="11" t="s">
        <v>312</v>
      </c>
      <c r="K32" s="11" t="s">
        <v>313</v>
      </c>
      <c r="L32" s="11" t="s">
        <v>268</v>
      </c>
      <c r="M32" s="11" t="s">
        <v>90</v>
      </c>
      <c r="N32" s="20" t="s">
        <v>94</v>
      </c>
      <c r="O32" s="11" t="s">
        <v>314</v>
      </c>
    </row>
    <row r="33" spans="1:15" ht="51.75" customHeight="1" x14ac:dyDescent="0.3">
      <c r="A33" s="12" t="s">
        <v>315</v>
      </c>
      <c r="B33" s="13" t="s">
        <v>316</v>
      </c>
      <c r="C33" s="13" t="s">
        <v>317</v>
      </c>
      <c r="D33" s="22" t="s">
        <v>64</v>
      </c>
      <c r="E33" s="13" t="s">
        <v>318</v>
      </c>
      <c r="F33" s="13" t="s">
        <v>319</v>
      </c>
      <c r="G33" s="22" t="s">
        <v>100</v>
      </c>
      <c r="H33" s="21" t="s">
        <v>89</v>
      </c>
      <c r="I33" s="13" t="s">
        <v>320</v>
      </c>
      <c r="J33" s="13" t="s">
        <v>321</v>
      </c>
      <c r="K33" s="13" t="s">
        <v>322</v>
      </c>
      <c r="L33" s="13" t="s">
        <v>268</v>
      </c>
      <c r="M33" s="13" t="s">
        <v>323</v>
      </c>
      <c r="N33" s="20" t="s">
        <v>94</v>
      </c>
      <c r="O33" s="13" t="s">
        <v>324</v>
      </c>
    </row>
    <row r="34" spans="1:15" ht="6" customHeight="1" x14ac:dyDescent="0.3"/>
    <row r="35" spans="1:15" ht="21.75" customHeight="1" x14ac:dyDescent="0.3">
      <c r="A35" s="1" t="s">
        <v>325</v>
      </c>
      <c r="B35" s="1"/>
      <c r="C35" s="1"/>
      <c r="D35" s="1"/>
      <c r="E35" s="1"/>
      <c r="F35" s="1"/>
      <c r="G35" s="1"/>
      <c r="H35" s="1"/>
      <c r="I35" s="1"/>
      <c r="J35" s="1"/>
      <c r="K35" s="1"/>
      <c r="L35" s="1"/>
      <c r="M35" s="1"/>
      <c r="N35" s="1"/>
      <c r="O35" s="1"/>
    </row>
    <row r="36" spans="1:15" ht="51.75" customHeight="1" x14ac:dyDescent="0.3">
      <c r="A36" s="10" t="s">
        <v>326</v>
      </c>
      <c r="B36" s="11" t="s">
        <v>327</v>
      </c>
      <c r="C36" s="11" t="s">
        <v>328</v>
      </c>
      <c r="D36" s="19" t="s">
        <v>61</v>
      </c>
      <c r="E36" s="11" t="s">
        <v>329</v>
      </c>
      <c r="F36" s="11" t="s">
        <v>330</v>
      </c>
      <c r="G36" s="22" t="s">
        <v>100</v>
      </c>
      <c r="H36" s="23" t="s">
        <v>36</v>
      </c>
      <c r="I36" s="11" t="s">
        <v>331</v>
      </c>
      <c r="J36" s="11" t="s">
        <v>332</v>
      </c>
      <c r="K36" s="11" t="s">
        <v>333</v>
      </c>
      <c r="L36" s="11" t="s">
        <v>185</v>
      </c>
      <c r="M36" s="11" t="s">
        <v>323</v>
      </c>
      <c r="N36" s="24" t="s">
        <v>106</v>
      </c>
      <c r="O36" s="11" t="s">
        <v>334</v>
      </c>
    </row>
    <row r="37" spans="1:15" ht="51.75" customHeight="1" x14ac:dyDescent="0.3">
      <c r="A37" s="12" t="s">
        <v>335</v>
      </c>
      <c r="B37" s="13" t="s">
        <v>336</v>
      </c>
      <c r="C37" s="13" t="s">
        <v>337</v>
      </c>
      <c r="D37" s="19" t="s">
        <v>61</v>
      </c>
      <c r="E37" s="13" t="s">
        <v>338</v>
      </c>
      <c r="F37" s="13" t="s">
        <v>339</v>
      </c>
      <c r="G37" s="27" t="s">
        <v>153</v>
      </c>
      <c r="H37" s="23" t="s">
        <v>36</v>
      </c>
      <c r="I37" s="13" t="s">
        <v>340</v>
      </c>
      <c r="J37" s="13" t="s">
        <v>341</v>
      </c>
      <c r="K37" s="13" t="s">
        <v>342</v>
      </c>
      <c r="L37" s="13" t="s">
        <v>185</v>
      </c>
      <c r="M37" s="13" t="s">
        <v>105</v>
      </c>
      <c r="N37" s="24" t="s">
        <v>106</v>
      </c>
      <c r="O37" s="13" t="s">
        <v>343</v>
      </c>
    </row>
    <row r="38" spans="1:15" ht="51.75" customHeight="1" x14ac:dyDescent="0.3">
      <c r="A38" s="10" t="s">
        <v>344</v>
      </c>
      <c r="B38" s="11" t="s">
        <v>345</v>
      </c>
      <c r="C38" s="11" t="s">
        <v>346</v>
      </c>
      <c r="D38" s="19" t="s">
        <v>61</v>
      </c>
      <c r="E38" s="11" t="s">
        <v>347</v>
      </c>
      <c r="F38" s="11" t="s">
        <v>348</v>
      </c>
      <c r="G38" s="20" t="s">
        <v>51</v>
      </c>
      <c r="H38" s="21" t="s">
        <v>89</v>
      </c>
      <c r="I38" s="11" t="s">
        <v>90</v>
      </c>
      <c r="J38" s="11" t="s">
        <v>349</v>
      </c>
      <c r="K38" s="11" t="s">
        <v>350</v>
      </c>
      <c r="L38" s="11" t="s">
        <v>351</v>
      </c>
      <c r="M38" s="11" t="s">
        <v>90</v>
      </c>
      <c r="N38" s="20" t="s">
        <v>94</v>
      </c>
      <c r="O38" s="11" t="s">
        <v>352</v>
      </c>
    </row>
    <row r="39" spans="1:15" ht="6" customHeight="1" x14ac:dyDescent="0.3"/>
    <row r="40" spans="1:15" ht="21.75" customHeight="1" x14ac:dyDescent="0.3">
      <c r="A40" s="1" t="s">
        <v>353</v>
      </c>
      <c r="B40" s="1"/>
      <c r="C40" s="1"/>
      <c r="D40" s="1"/>
      <c r="E40" s="1"/>
      <c r="F40" s="1"/>
      <c r="G40" s="1"/>
      <c r="H40" s="1"/>
      <c r="I40" s="1"/>
      <c r="J40" s="1"/>
      <c r="K40" s="1"/>
      <c r="L40" s="1"/>
      <c r="M40" s="1"/>
      <c r="N40" s="1"/>
      <c r="O40" s="1"/>
    </row>
    <row r="41" spans="1:15" ht="51.75" customHeight="1" x14ac:dyDescent="0.3">
      <c r="A41" s="12" t="s">
        <v>354</v>
      </c>
      <c r="B41" s="13" t="s">
        <v>355</v>
      </c>
      <c r="C41" s="13" t="s">
        <v>356</v>
      </c>
      <c r="D41" s="19" t="s">
        <v>61</v>
      </c>
      <c r="E41" s="13" t="s">
        <v>357</v>
      </c>
      <c r="F41" s="13" t="s">
        <v>358</v>
      </c>
      <c r="G41" s="22" t="s">
        <v>100</v>
      </c>
      <c r="H41" s="25" t="s">
        <v>40</v>
      </c>
      <c r="I41" s="13" t="s">
        <v>359</v>
      </c>
      <c r="J41" s="13" t="s">
        <v>360</v>
      </c>
      <c r="K41" s="13" t="s">
        <v>361</v>
      </c>
      <c r="L41" s="13" t="s">
        <v>362</v>
      </c>
      <c r="M41" s="13" t="s">
        <v>126</v>
      </c>
      <c r="N41" s="24" t="s">
        <v>106</v>
      </c>
      <c r="O41" s="13" t="s">
        <v>363</v>
      </c>
    </row>
    <row r="42" spans="1:15" ht="51.75" customHeight="1" x14ac:dyDescent="0.3">
      <c r="A42" s="10" t="s">
        <v>364</v>
      </c>
      <c r="B42" s="11" t="s">
        <v>365</v>
      </c>
      <c r="C42" s="11" t="s">
        <v>366</v>
      </c>
      <c r="D42" s="19" t="s">
        <v>61</v>
      </c>
      <c r="E42" s="11" t="s">
        <v>367</v>
      </c>
      <c r="F42" s="11" t="s">
        <v>368</v>
      </c>
      <c r="G42" s="22" t="s">
        <v>100</v>
      </c>
      <c r="H42" s="25" t="s">
        <v>40</v>
      </c>
      <c r="I42" s="11" t="s">
        <v>369</v>
      </c>
      <c r="J42" s="11" t="s">
        <v>370</v>
      </c>
      <c r="K42" s="11" t="s">
        <v>371</v>
      </c>
      <c r="L42" s="11" t="s">
        <v>362</v>
      </c>
      <c r="M42" s="11" t="s">
        <v>126</v>
      </c>
      <c r="N42" s="24" t="s">
        <v>106</v>
      </c>
      <c r="O42" s="11" t="s">
        <v>372</v>
      </c>
    </row>
    <row r="43" spans="1:15" ht="51.75" customHeight="1" x14ac:dyDescent="0.3">
      <c r="A43" s="12" t="s">
        <v>373</v>
      </c>
      <c r="B43" s="13" t="s">
        <v>374</v>
      </c>
      <c r="C43" s="13" t="s">
        <v>375</v>
      </c>
      <c r="D43" s="19" t="s">
        <v>61</v>
      </c>
      <c r="E43" s="13" t="s">
        <v>376</v>
      </c>
      <c r="F43" s="13" t="s">
        <v>377</v>
      </c>
      <c r="G43" s="22" t="s">
        <v>100</v>
      </c>
      <c r="H43" s="21" t="s">
        <v>89</v>
      </c>
      <c r="I43" s="13" t="s">
        <v>378</v>
      </c>
      <c r="J43" s="13" t="s">
        <v>379</v>
      </c>
      <c r="K43" s="13" t="s">
        <v>380</v>
      </c>
      <c r="L43" s="13" t="s">
        <v>185</v>
      </c>
      <c r="M43" s="13" t="s">
        <v>126</v>
      </c>
      <c r="N43" s="22" t="s">
        <v>146</v>
      </c>
      <c r="O43" s="13" t="s">
        <v>381</v>
      </c>
    </row>
    <row r="44" spans="1:15" ht="51.75" customHeight="1" x14ac:dyDescent="0.3">
      <c r="A44" s="10" t="s">
        <v>382</v>
      </c>
      <c r="B44" s="11" t="s">
        <v>383</v>
      </c>
      <c r="C44" s="11" t="s">
        <v>384</v>
      </c>
      <c r="D44" s="19" t="s">
        <v>61</v>
      </c>
      <c r="E44" s="11" t="s">
        <v>385</v>
      </c>
      <c r="F44" s="11" t="s">
        <v>386</v>
      </c>
      <c r="G44" s="22" t="s">
        <v>100</v>
      </c>
      <c r="H44" s="26" t="s">
        <v>142</v>
      </c>
      <c r="I44" s="11" t="s">
        <v>387</v>
      </c>
      <c r="J44" s="11" t="s">
        <v>388</v>
      </c>
      <c r="K44" s="11" t="s">
        <v>389</v>
      </c>
      <c r="L44" s="11" t="s">
        <v>362</v>
      </c>
      <c r="M44" s="11" t="s">
        <v>126</v>
      </c>
      <c r="N44" s="22" t="s">
        <v>146</v>
      </c>
      <c r="O44" s="11" t="s">
        <v>390</v>
      </c>
    </row>
  </sheetData>
  <mergeCells count="7">
    <mergeCell ref="A35:O35"/>
    <mergeCell ref="A40:O40"/>
    <mergeCell ref="A1:O1"/>
    <mergeCell ref="A2:O2"/>
    <mergeCell ref="A4:O4"/>
    <mergeCell ref="A16:O16"/>
    <mergeCell ref="A24:O24"/>
  </mergeCells>
  <dataValidations count="4">
    <dataValidation type="list" sqref="G5:G14 G17:G22 G25:G33 G36:G38 G41:G44" xr:uid="{00000000-0002-0000-0100-000000000000}">
      <formula1>"Compliant,Partial,Gap,Not Applicable"</formula1>
      <formula2>0</formula2>
    </dataValidation>
    <dataValidation type="list" sqref="H5:H14 H17:H22 H25:H33 H36:H38 H41:H44" xr:uid="{00000000-0002-0000-0100-000001000000}">
      <formula1>"Critical,High,Medium,Low,N/A"</formula1>
      <formula2>0</formula2>
    </dataValidation>
    <dataValidation type="list" sqref="D5:D14 D17:D22 D25:D33 D36:D38 D41:D44" xr:uid="{00000000-0002-0000-0100-000002000000}">
      <formula1>"Required,Addressable"</formula1>
      <formula2>0</formula2>
    </dataValidation>
    <dataValidation type="list" sqref="N5:N14 N17:N22 N25:N33 N36:N38 N41:N44" xr:uid="{00000000-0002-0000-0100-000003000000}">
      <formula1>"YES,NO,CONDITIONAL"</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
  <sheetViews>
    <sheetView showGridLines="0" zoomScaleNormal="100" workbookViewId="0">
      <pane ySplit="2" topLeftCell="A3" activePane="bottomLeft" state="frozen"/>
      <selection pane="bottomLeft"/>
    </sheetView>
  </sheetViews>
  <sheetFormatPr defaultColWidth="8.6640625" defaultRowHeight="14.4" x14ac:dyDescent="0.3"/>
  <cols>
    <col min="1" max="1" width="10" customWidth="1"/>
    <col min="2" max="2" width="14" customWidth="1"/>
    <col min="3" max="3" width="18" customWidth="1"/>
    <col min="4" max="4" width="36" customWidth="1"/>
    <col min="5" max="5" width="18" customWidth="1"/>
    <col min="6" max="6" width="14" customWidth="1"/>
    <col min="7" max="7" width="13" customWidth="1"/>
    <col min="8" max="8" width="11" customWidth="1"/>
    <col min="9" max="9" width="12" customWidth="1"/>
    <col min="10" max="10" width="26" customWidth="1"/>
    <col min="11" max="11" width="12" customWidth="1"/>
    <col min="12" max="12" width="16" customWidth="1"/>
    <col min="13" max="13" width="30" customWidth="1"/>
  </cols>
  <sheetData>
    <row r="1" spans="1:13" ht="27.75" customHeight="1" x14ac:dyDescent="0.3">
      <c r="A1" s="3" t="s">
        <v>391</v>
      </c>
      <c r="B1" s="3"/>
      <c r="C1" s="3"/>
      <c r="D1" s="3"/>
      <c r="E1" s="3"/>
      <c r="F1" s="3"/>
      <c r="G1" s="3"/>
      <c r="H1" s="3"/>
      <c r="I1" s="3"/>
      <c r="J1" s="3"/>
      <c r="K1" s="3"/>
      <c r="L1" s="3"/>
      <c r="M1" s="3"/>
    </row>
    <row r="2" spans="1:13" ht="25.5" customHeight="1" x14ac:dyDescent="0.3">
      <c r="A2" s="18" t="s">
        <v>392</v>
      </c>
      <c r="B2" s="18" t="s">
        <v>70</v>
      </c>
      <c r="C2" s="18" t="s">
        <v>393</v>
      </c>
      <c r="D2" s="18" t="s">
        <v>394</v>
      </c>
      <c r="E2" s="18" t="s">
        <v>395</v>
      </c>
      <c r="F2" s="18" t="s">
        <v>396</v>
      </c>
      <c r="G2" s="18" t="s">
        <v>397</v>
      </c>
      <c r="H2" s="18" t="s">
        <v>398</v>
      </c>
      <c r="I2" s="18" t="s">
        <v>75</v>
      </c>
      <c r="J2" s="18" t="s">
        <v>399</v>
      </c>
      <c r="K2" s="18" t="s">
        <v>400</v>
      </c>
      <c r="L2" s="18" t="s">
        <v>401</v>
      </c>
      <c r="M2" s="18" t="s">
        <v>402</v>
      </c>
    </row>
    <row r="3" spans="1:13" ht="43.5" customHeight="1" x14ac:dyDescent="0.3">
      <c r="A3" s="24" t="s">
        <v>403</v>
      </c>
      <c r="B3" s="28" t="s">
        <v>85</v>
      </c>
      <c r="C3" s="28" t="s">
        <v>404</v>
      </c>
      <c r="D3" s="28" t="s">
        <v>405</v>
      </c>
      <c r="E3" s="28" t="s">
        <v>406</v>
      </c>
      <c r="F3" s="28">
        <v>5</v>
      </c>
      <c r="G3" s="28">
        <v>5</v>
      </c>
      <c r="H3" s="24">
        <f t="shared" ref="H3:H14" si="0">F3*G3</f>
        <v>25</v>
      </c>
      <c r="I3" s="24" t="s">
        <v>36</v>
      </c>
      <c r="J3" s="28" t="s">
        <v>407</v>
      </c>
      <c r="K3" s="28" t="s">
        <v>36</v>
      </c>
      <c r="L3" s="28" t="s">
        <v>104</v>
      </c>
      <c r="M3" s="28" t="s">
        <v>408</v>
      </c>
    </row>
    <row r="4" spans="1:13" ht="43.5" customHeight="1" x14ac:dyDescent="0.3">
      <c r="A4" s="24" t="s">
        <v>409</v>
      </c>
      <c r="B4" s="28" t="s">
        <v>169</v>
      </c>
      <c r="C4" s="28" t="s">
        <v>410</v>
      </c>
      <c r="D4" s="28" t="s">
        <v>411</v>
      </c>
      <c r="E4" s="28" t="s">
        <v>412</v>
      </c>
      <c r="F4" s="28">
        <v>4</v>
      </c>
      <c r="G4" s="28">
        <v>5</v>
      </c>
      <c r="H4" s="24">
        <f t="shared" si="0"/>
        <v>20</v>
      </c>
      <c r="I4" s="24" t="s">
        <v>36</v>
      </c>
      <c r="J4" s="28" t="s">
        <v>413</v>
      </c>
      <c r="K4" s="28" t="s">
        <v>36</v>
      </c>
      <c r="L4" s="28" t="s">
        <v>157</v>
      </c>
      <c r="M4" s="28" t="s">
        <v>414</v>
      </c>
    </row>
    <row r="5" spans="1:13" ht="43.5" customHeight="1" x14ac:dyDescent="0.3">
      <c r="A5" s="24" t="s">
        <v>415</v>
      </c>
      <c r="B5" s="28" t="s">
        <v>178</v>
      </c>
      <c r="C5" s="28" t="s">
        <v>416</v>
      </c>
      <c r="D5" s="28" t="s">
        <v>417</v>
      </c>
      <c r="E5" s="28" t="s">
        <v>418</v>
      </c>
      <c r="F5" s="28">
        <v>4</v>
      </c>
      <c r="G5" s="28">
        <v>5</v>
      </c>
      <c r="H5" s="24">
        <f t="shared" si="0"/>
        <v>20</v>
      </c>
      <c r="I5" s="24" t="s">
        <v>36</v>
      </c>
      <c r="J5" s="28" t="s">
        <v>419</v>
      </c>
      <c r="K5" s="28" t="s">
        <v>36</v>
      </c>
      <c r="L5" s="28" t="s">
        <v>351</v>
      </c>
      <c r="M5" s="28" t="s">
        <v>420</v>
      </c>
    </row>
    <row r="6" spans="1:13" ht="43.5" customHeight="1" x14ac:dyDescent="0.3">
      <c r="A6" s="24" t="s">
        <v>421</v>
      </c>
      <c r="B6" s="28" t="s">
        <v>299</v>
      </c>
      <c r="C6" s="28" t="s">
        <v>422</v>
      </c>
      <c r="D6" s="28" t="s">
        <v>423</v>
      </c>
      <c r="E6" s="28" t="s">
        <v>424</v>
      </c>
      <c r="F6" s="28">
        <v>4</v>
      </c>
      <c r="G6" s="28">
        <v>5</v>
      </c>
      <c r="H6" s="24">
        <f t="shared" si="0"/>
        <v>20</v>
      </c>
      <c r="I6" s="24" t="s">
        <v>36</v>
      </c>
      <c r="J6" s="28" t="s">
        <v>425</v>
      </c>
      <c r="K6" s="28" t="s">
        <v>36</v>
      </c>
      <c r="L6" s="28" t="s">
        <v>260</v>
      </c>
      <c r="M6" s="28" t="s">
        <v>426</v>
      </c>
    </row>
    <row r="7" spans="1:13" ht="43.5" customHeight="1" x14ac:dyDescent="0.3">
      <c r="A7" s="24" t="s">
        <v>427</v>
      </c>
      <c r="B7" s="28" t="s">
        <v>208</v>
      </c>
      <c r="C7" s="28" t="s">
        <v>428</v>
      </c>
      <c r="D7" s="28" t="s">
        <v>429</v>
      </c>
      <c r="E7" s="28" t="s">
        <v>430</v>
      </c>
      <c r="F7" s="28">
        <v>4</v>
      </c>
      <c r="G7" s="28">
        <v>5</v>
      </c>
      <c r="H7" s="24">
        <f t="shared" si="0"/>
        <v>20</v>
      </c>
      <c r="I7" s="24" t="s">
        <v>36</v>
      </c>
      <c r="J7" s="28" t="s">
        <v>431</v>
      </c>
      <c r="K7" s="28" t="s">
        <v>36</v>
      </c>
      <c r="L7" s="28" t="s">
        <v>432</v>
      </c>
      <c r="M7" s="28" t="s">
        <v>433</v>
      </c>
    </row>
    <row r="8" spans="1:13" ht="43.5" customHeight="1" x14ac:dyDescent="0.3">
      <c r="A8" s="29" t="s">
        <v>434</v>
      </c>
      <c r="B8" s="30" t="s">
        <v>149</v>
      </c>
      <c r="C8" s="30" t="s">
        <v>435</v>
      </c>
      <c r="D8" s="30" t="s">
        <v>436</v>
      </c>
      <c r="E8" s="30" t="s">
        <v>437</v>
      </c>
      <c r="F8" s="30">
        <v>4</v>
      </c>
      <c r="G8" s="30">
        <v>4</v>
      </c>
      <c r="H8" s="29">
        <f t="shared" si="0"/>
        <v>16</v>
      </c>
      <c r="I8" s="29" t="s">
        <v>40</v>
      </c>
      <c r="J8" s="30" t="s">
        <v>438</v>
      </c>
      <c r="K8" s="30" t="s">
        <v>40</v>
      </c>
      <c r="L8" s="30" t="s">
        <v>439</v>
      </c>
      <c r="M8" s="30" t="s">
        <v>440</v>
      </c>
    </row>
    <row r="9" spans="1:13" ht="43.5" customHeight="1" x14ac:dyDescent="0.3">
      <c r="A9" s="29" t="s">
        <v>441</v>
      </c>
      <c r="B9" s="30" t="s">
        <v>118</v>
      </c>
      <c r="C9" s="30" t="s">
        <v>442</v>
      </c>
      <c r="D9" s="30" t="s">
        <v>443</v>
      </c>
      <c r="E9" s="30" t="s">
        <v>444</v>
      </c>
      <c r="F9" s="30">
        <v>3</v>
      </c>
      <c r="G9" s="30">
        <v>4</v>
      </c>
      <c r="H9" s="29">
        <f t="shared" si="0"/>
        <v>12</v>
      </c>
      <c r="I9" s="29" t="s">
        <v>40</v>
      </c>
      <c r="J9" s="30" t="s">
        <v>445</v>
      </c>
      <c r="K9" s="30" t="s">
        <v>40</v>
      </c>
      <c r="L9" s="30" t="s">
        <v>446</v>
      </c>
      <c r="M9" s="30" t="s">
        <v>447</v>
      </c>
    </row>
    <row r="10" spans="1:13" ht="43.5" customHeight="1" x14ac:dyDescent="0.3">
      <c r="A10" s="29" t="s">
        <v>448</v>
      </c>
      <c r="B10" s="30" t="s">
        <v>449</v>
      </c>
      <c r="C10" s="30" t="s">
        <v>450</v>
      </c>
      <c r="D10" s="30" t="s">
        <v>451</v>
      </c>
      <c r="E10" s="30" t="s">
        <v>452</v>
      </c>
      <c r="F10" s="30">
        <v>3</v>
      </c>
      <c r="G10" s="30">
        <v>4</v>
      </c>
      <c r="H10" s="29">
        <f t="shared" si="0"/>
        <v>12</v>
      </c>
      <c r="I10" s="29" t="s">
        <v>40</v>
      </c>
      <c r="J10" s="30" t="s">
        <v>453</v>
      </c>
      <c r="K10" s="30" t="s">
        <v>40</v>
      </c>
      <c r="L10" s="30" t="s">
        <v>157</v>
      </c>
      <c r="M10" s="30" t="s">
        <v>454</v>
      </c>
    </row>
    <row r="11" spans="1:13" ht="43.5" customHeight="1" x14ac:dyDescent="0.3">
      <c r="A11" s="29" t="s">
        <v>455</v>
      </c>
      <c r="B11" s="30" t="s">
        <v>280</v>
      </c>
      <c r="C11" s="30" t="s">
        <v>456</v>
      </c>
      <c r="D11" s="30" t="s">
        <v>457</v>
      </c>
      <c r="E11" s="30" t="s">
        <v>458</v>
      </c>
      <c r="F11" s="30">
        <v>3</v>
      </c>
      <c r="G11" s="30">
        <v>3</v>
      </c>
      <c r="H11" s="29">
        <f t="shared" si="0"/>
        <v>9</v>
      </c>
      <c r="I11" s="29" t="s">
        <v>40</v>
      </c>
      <c r="J11" s="30" t="s">
        <v>459</v>
      </c>
      <c r="K11" s="30" t="s">
        <v>142</v>
      </c>
      <c r="L11" s="30" t="s">
        <v>460</v>
      </c>
      <c r="M11" s="30" t="s">
        <v>461</v>
      </c>
    </row>
    <row r="12" spans="1:13" ht="43.5" customHeight="1" x14ac:dyDescent="0.3">
      <c r="A12" s="29" t="s">
        <v>462</v>
      </c>
      <c r="B12" s="30" t="s">
        <v>227</v>
      </c>
      <c r="C12" s="30" t="s">
        <v>463</v>
      </c>
      <c r="D12" s="30" t="s">
        <v>464</v>
      </c>
      <c r="E12" s="30" t="s">
        <v>465</v>
      </c>
      <c r="F12" s="30">
        <v>3</v>
      </c>
      <c r="G12" s="30">
        <v>3</v>
      </c>
      <c r="H12" s="29">
        <f t="shared" si="0"/>
        <v>9</v>
      </c>
      <c r="I12" s="29" t="s">
        <v>40</v>
      </c>
      <c r="J12" s="30" t="s">
        <v>466</v>
      </c>
      <c r="K12" s="30" t="s">
        <v>40</v>
      </c>
      <c r="L12" s="30" t="s">
        <v>157</v>
      </c>
      <c r="M12" s="30" t="s">
        <v>467</v>
      </c>
    </row>
    <row r="13" spans="1:13" ht="43.5" customHeight="1" x14ac:dyDescent="0.3">
      <c r="A13" s="29" t="s">
        <v>468</v>
      </c>
      <c r="B13" s="30" t="s">
        <v>199</v>
      </c>
      <c r="C13" s="30" t="s">
        <v>469</v>
      </c>
      <c r="D13" s="30" t="s">
        <v>470</v>
      </c>
      <c r="E13" s="30" t="s">
        <v>471</v>
      </c>
      <c r="F13" s="30">
        <v>3</v>
      </c>
      <c r="G13" s="30">
        <v>4</v>
      </c>
      <c r="H13" s="29">
        <f t="shared" si="0"/>
        <v>12</v>
      </c>
      <c r="I13" s="29" t="s">
        <v>40</v>
      </c>
      <c r="J13" s="30" t="s">
        <v>472</v>
      </c>
      <c r="K13" s="30" t="s">
        <v>142</v>
      </c>
      <c r="L13" s="30" t="s">
        <v>439</v>
      </c>
      <c r="M13" s="30" t="s">
        <v>473</v>
      </c>
    </row>
    <row r="14" spans="1:13" ht="43.5" customHeight="1" x14ac:dyDescent="0.3">
      <c r="A14" s="31" t="s">
        <v>474</v>
      </c>
      <c r="B14" s="32" t="s">
        <v>355</v>
      </c>
      <c r="C14" s="32" t="s">
        <v>475</v>
      </c>
      <c r="D14" s="32" t="s">
        <v>476</v>
      </c>
      <c r="E14" s="32" t="s">
        <v>477</v>
      </c>
      <c r="F14" s="32">
        <v>3</v>
      </c>
      <c r="G14" s="32">
        <v>3</v>
      </c>
      <c r="H14" s="31">
        <f t="shared" si="0"/>
        <v>9</v>
      </c>
      <c r="I14" s="31" t="s">
        <v>142</v>
      </c>
      <c r="J14" s="32" t="s">
        <v>478</v>
      </c>
      <c r="K14" s="32" t="s">
        <v>142</v>
      </c>
      <c r="L14" s="32" t="s">
        <v>362</v>
      </c>
      <c r="M14" s="32" t="s">
        <v>479</v>
      </c>
    </row>
  </sheetData>
  <mergeCells count="1">
    <mergeCell ref="A1:M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9"/>
  <sheetViews>
    <sheetView showGridLines="0" zoomScaleNormal="100" workbookViewId="0">
      <pane ySplit="2" topLeftCell="A3" activePane="bottomLeft" state="frozen"/>
      <selection pane="bottomLeft"/>
    </sheetView>
  </sheetViews>
  <sheetFormatPr defaultColWidth="8.6640625" defaultRowHeight="14.4" x14ac:dyDescent="0.3"/>
  <cols>
    <col min="1" max="2" width="11" customWidth="1"/>
    <col min="3" max="3" width="40" customWidth="1"/>
    <col min="4" max="4" width="12" customWidth="1"/>
    <col min="5" max="5" width="16" customWidth="1"/>
    <col min="6" max="6" width="20" customWidth="1"/>
    <col min="7" max="7" width="13" customWidth="1"/>
    <col min="8" max="8" width="10" customWidth="1"/>
    <col min="9" max="9" width="13" customWidth="1"/>
    <col min="10" max="10" width="32" customWidth="1"/>
    <col min="11" max="11" width="14" customWidth="1"/>
  </cols>
  <sheetData>
    <row r="1" spans="1:11" ht="27.75" customHeight="1" x14ac:dyDescent="0.3">
      <c r="A1" s="3" t="s">
        <v>480</v>
      </c>
      <c r="B1" s="3"/>
      <c r="C1" s="3"/>
      <c r="D1" s="3"/>
      <c r="E1" s="3"/>
      <c r="F1" s="3"/>
      <c r="G1" s="3"/>
      <c r="H1" s="3"/>
      <c r="I1" s="3"/>
      <c r="J1" s="3"/>
      <c r="K1" s="3"/>
    </row>
    <row r="2" spans="1:11" ht="25.5" customHeight="1" x14ac:dyDescent="0.3">
      <c r="A2" s="18" t="s">
        <v>481</v>
      </c>
      <c r="B2" s="18" t="s">
        <v>69</v>
      </c>
      <c r="C2" s="18" t="s">
        <v>482</v>
      </c>
      <c r="D2" s="18" t="s">
        <v>75</v>
      </c>
      <c r="E2" s="18" t="s">
        <v>70</v>
      </c>
      <c r="F2" s="18" t="s">
        <v>79</v>
      </c>
      <c r="G2" s="18" t="s">
        <v>80</v>
      </c>
      <c r="H2" s="18" t="s">
        <v>483</v>
      </c>
      <c r="I2" s="18" t="s">
        <v>484</v>
      </c>
      <c r="J2" s="18" t="s">
        <v>485</v>
      </c>
      <c r="K2" s="18" t="s">
        <v>81</v>
      </c>
    </row>
    <row r="3" spans="1:11" ht="51.75" customHeight="1" x14ac:dyDescent="0.3">
      <c r="A3" s="24" t="s">
        <v>486</v>
      </c>
      <c r="B3" s="28" t="s">
        <v>96</v>
      </c>
      <c r="C3" s="28" t="s">
        <v>487</v>
      </c>
      <c r="D3" s="24" t="s">
        <v>36</v>
      </c>
      <c r="E3" s="28" t="s">
        <v>85</v>
      </c>
      <c r="F3" s="28" t="s">
        <v>104</v>
      </c>
      <c r="G3" s="28" t="s">
        <v>105</v>
      </c>
      <c r="H3" s="28" t="s">
        <v>40</v>
      </c>
      <c r="I3" s="28" t="s">
        <v>488</v>
      </c>
      <c r="J3" s="28" t="s">
        <v>489</v>
      </c>
      <c r="K3" s="24" t="s">
        <v>106</v>
      </c>
    </row>
    <row r="4" spans="1:11" ht="51.75" customHeight="1" x14ac:dyDescent="0.3">
      <c r="A4" s="24" t="s">
        <v>490</v>
      </c>
      <c r="B4" s="28" t="s">
        <v>148</v>
      </c>
      <c r="C4" s="28" t="s">
        <v>491</v>
      </c>
      <c r="D4" s="24" t="s">
        <v>36</v>
      </c>
      <c r="E4" s="28" t="s">
        <v>492</v>
      </c>
      <c r="F4" s="28" t="s">
        <v>157</v>
      </c>
      <c r="G4" s="28" t="s">
        <v>105</v>
      </c>
      <c r="H4" s="28" t="s">
        <v>142</v>
      </c>
      <c r="I4" s="28" t="s">
        <v>488</v>
      </c>
      <c r="J4" s="28" t="s">
        <v>493</v>
      </c>
      <c r="K4" s="24" t="s">
        <v>106</v>
      </c>
    </row>
    <row r="5" spans="1:11" ht="51.75" customHeight="1" x14ac:dyDescent="0.3">
      <c r="A5" s="24" t="s">
        <v>494</v>
      </c>
      <c r="B5" s="28" t="s">
        <v>495</v>
      </c>
      <c r="C5" s="28" t="s">
        <v>496</v>
      </c>
      <c r="D5" s="24" t="s">
        <v>36</v>
      </c>
      <c r="E5" s="28" t="s">
        <v>497</v>
      </c>
      <c r="F5" s="28" t="s">
        <v>185</v>
      </c>
      <c r="G5" s="28" t="s">
        <v>105</v>
      </c>
      <c r="H5" s="28" t="s">
        <v>89</v>
      </c>
      <c r="I5" s="28" t="s">
        <v>488</v>
      </c>
      <c r="J5" s="28" t="s">
        <v>498</v>
      </c>
      <c r="K5" s="24" t="s">
        <v>106</v>
      </c>
    </row>
    <row r="6" spans="1:11" ht="51.75" customHeight="1" x14ac:dyDescent="0.3">
      <c r="A6" s="24" t="s">
        <v>499</v>
      </c>
      <c r="B6" s="28" t="s">
        <v>298</v>
      </c>
      <c r="C6" s="28" t="s">
        <v>500</v>
      </c>
      <c r="D6" s="24" t="s">
        <v>36</v>
      </c>
      <c r="E6" s="28" t="s">
        <v>299</v>
      </c>
      <c r="F6" s="28" t="s">
        <v>260</v>
      </c>
      <c r="G6" s="28" t="s">
        <v>105</v>
      </c>
      <c r="H6" s="28" t="s">
        <v>40</v>
      </c>
      <c r="I6" s="28" t="s">
        <v>488</v>
      </c>
      <c r="J6" s="28" t="s">
        <v>501</v>
      </c>
      <c r="K6" s="24" t="s">
        <v>106</v>
      </c>
    </row>
    <row r="7" spans="1:11" ht="51.75" customHeight="1" x14ac:dyDescent="0.3">
      <c r="A7" s="24" t="s">
        <v>502</v>
      </c>
      <c r="B7" s="28" t="s">
        <v>207</v>
      </c>
      <c r="C7" s="28" t="s">
        <v>503</v>
      </c>
      <c r="D7" s="24" t="s">
        <v>36</v>
      </c>
      <c r="E7" s="28" t="s">
        <v>208</v>
      </c>
      <c r="F7" s="28" t="s">
        <v>215</v>
      </c>
      <c r="G7" s="28" t="s">
        <v>105</v>
      </c>
      <c r="H7" s="28" t="s">
        <v>142</v>
      </c>
      <c r="I7" s="28" t="s">
        <v>488</v>
      </c>
      <c r="J7" s="28" t="s">
        <v>504</v>
      </c>
      <c r="K7" s="24" t="s">
        <v>106</v>
      </c>
    </row>
    <row r="8" spans="1:11" ht="51.75" customHeight="1" x14ac:dyDescent="0.3">
      <c r="A8" s="29" t="s">
        <v>505</v>
      </c>
      <c r="B8" s="30" t="s">
        <v>108</v>
      </c>
      <c r="C8" s="30" t="s">
        <v>506</v>
      </c>
      <c r="D8" s="29" t="s">
        <v>40</v>
      </c>
      <c r="E8" s="30" t="s">
        <v>85</v>
      </c>
      <c r="F8" s="30" t="s">
        <v>104</v>
      </c>
      <c r="G8" s="30" t="s">
        <v>115</v>
      </c>
      <c r="H8" s="30" t="s">
        <v>89</v>
      </c>
      <c r="I8" s="28" t="s">
        <v>488</v>
      </c>
      <c r="J8" s="30" t="s">
        <v>507</v>
      </c>
      <c r="K8" s="24" t="s">
        <v>106</v>
      </c>
    </row>
    <row r="9" spans="1:11" ht="51.75" customHeight="1" x14ac:dyDescent="0.3">
      <c r="A9" s="29" t="s">
        <v>508</v>
      </c>
      <c r="B9" s="30" t="s">
        <v>117</v>
      </c>
      <c r="C9" s="30" t="s">
        <v>509</v>
      </c>
      <c r="D9" s="29" t="s">
        <v>40</v>
      </c>
      <c r="E9" s="30" t="s">
        <v>149</v>
      </c>
      <c r="F9" s="30" t="s">
        <v>125</v>
      </c>
      <c r="G9" s="30" t="s">
        <v>126</v>
      </c>
      <c r="H9" s="30" t="s">
        <v>142</v>
      </c>
      <c r="I9" s="28" t="s">
        <v>488</v>
      </c>
      <c r="J9" s="30" t="s">
        <v>510</v>
      </c>
      <c r="K9" s="24" t="s">
        <v>106</v>
      </c>
    </row>
    <row r="10" spans="1:11" ht="51.75" customHeight="1" x14ac:dyDescent="0.3">
      <c r="A10" s="29" t="s">
        <v>511</v>
      </c>
      <c r="B10" s="30" t="s">
        <v>128</v>
      </c>
      <c r="C10" s="30" t="s">
        <v>512</v>
      </c>
      <c r="D10" s="29" t="s">
        <v>40</v>
      </c>
      <c r="E10" s="30" t="s">
        <v>118</v>
      </c>
      <c r="F10" s="30" t="s">
        <v>135</v>
      </c>
      <c r="G10" s="30" t="s">
        <v>115</v>
      </c>
      <c r="H10" s="30" t="s">
        <v>89</v>
      </c>
      <c r="I10" s="28" t="s">
        <v>488</v>
      </c>
      <c r="J10" s="30" t="s">
        <v>513</v>
      </c>
      <c r="K10" s="24" t="s">
        <v>106</v>
      </c>
    </row>
    <row r="11" spans="1:11" ht="51.75" customHeight="1" x14ac:dyDescent="0.3">
      <c r="A11" s="29" t="s">
        <v>514</v>
      </c>
      <c r="B11" s="30" t="s">
        <v>270</v>
      </c>
      <c r="C11" s="30" t="s">
        <v>515</v>
      </c>
      <c r="D11" s="29" t="s">
        <v>40</v>
      </c>
      <c r="E11" s="30" t="s">
        <v>449</v>
      </c>
      <c r="F11" s="30" t="s">
        <v>157</v>
      </c>
      <c r="G11" s="30" t="s">
        <v>105</v>
      </c>
      <c r="H11" s="30" t="s">
        <v>142</v>
      </c>
      <c r="I11" s="28" t="s">
        <v>488</v>
      </c>
      <c r="J11" s="30" t="s">
        <v>516</v>
      </c>
      <c r="K11" s="24" t="s">
        <v>106</v>
      </c>
    </row>
    <row r="12" spans="1:11" ht="51.75" customHeight="1" x14ac:dyDescent="0.3">
      <c r="A12" s="29" t="s">
        <v>517</v>
      </c>
      <c r="B12" s="30" t="s">
        <v>279</v>
      </c>
      <c r="C12" s="30" t="s">
        <v>518</v>
      </c>
      <c r="D12" s="29" t="s">
        <v>40</v>
      </c>
      <c r="E12" s="30" t="s">
        <v>280</v>
      </c>
      <c r="F12" s="30" t="s">
        <v>287</v>
      </c>
      <c r="G12" s="30" t="s">
        <v>105</v>
      </c>
      <c r="H12" s="30" t="s">
        <v>89</v>
      </c>
      <c r="I12" s="28" t="s">
        <v>488</v>
      </c>
      <c r="J12" s="30" t="s">
        <v>519</v>
      </c>
      <c r="K12" s="24" t="s">
        <v>106</v>
      </c>
    </row>
    <row r="13" spans="1:11" ht="51.75" customHeight="1" x14ac:dyDescent="0.3">
      <c r="A13" s="29" t="s">
        <v>520</v>
      </c>
      <c r="B13" s="30" t="s">
        <v>226</v>
      </c>
      <c r="C13" s="30" t="s">
        <v>521</v>
      </c>
      <c r="D13" s="29" t="s">
        <v>40</v>
      </c>
      <c r="E13" s="30" t="s">
        <v>227</v>
      </c>
      <c r="F13" s="30" t="s">
        <v>157</v>
      </c>
      <c r="G13" s="30" t="s">
        <v>105</v>
      </c>
      <c r="H13" s="30" t="s">
        <v>89</v>
      </c>
      <c r="I13" s="28" t="s">
        <v>488</v>
      </c>
      <c r="J13" s="30" t="s">
        <v>522</v>
      </c>
      <c r="K13" s="24" t="s">
        <v>106</v>
      </c>
    </row>
    <row r="14" spans="1:11" ht="51.75" customHeight="1" x14ac:dyDescent="0.3">
      <c r="A14" s="29" t="s">
        <v>523</v>
      </c>
      <c r="B14" s="30" t="s">
        <v>198</v>
      </c>
      <c r="C14" s="30" t="s">
        <v>524</v>
      </c>
      <c r="D14" s="29" t="s">
        <v>40</v>
      </c>
      <c r="E14" s="30" t="s">
        <v>199</v>
      </c>
      <c r="F14" s="30" t="s">
        <v>125</v>
      </c>
      <c r="G14" s="30" t="s">
        <v>105</v>
      </c>
      <c r="H14" s="30" t="s">
        <v>89</v>
      </c>
      <c r="I14" s="28" t="s">
        <v>488</v>
      </c>
      <c r="J14" s="30" t="s">
        <v>525</v>
      </c>
      <c r="K14" s="24" t="s">
        <v>106</v>
      </c>
    </row>
    <row r="15" spans="1:11" ht="51.75" customHeight="1" x14ac:dyDescent="0.3">
      <c r="A15" s="29" t="s">
        <v>526</v>
      </c>
      <c r="B15" s="30" t="s">
        <v>354</v>
      </c>
      <c r="C15" s="30" t="s">
        <v>527</v>
      </c>
      <c r="D15" s="29" t="s">
        <v>40</v>
      </c>
      <c r="E15" s="30" t="s">
        <v>355</v>
      </c>
      <c r="F15" s="30" t="s">
        <v>362</v>
      </c>
      <c r="G15" s="30" t="s">
        <v>126</v>
      </c>
      <c r="H15" s="30" t="s">
        <v>142</v>
      </c>
      <c r="I15" s="28" t="s">
        <v>488</v>
      </c>
      <c r="J15" s="30" t="s">
        <v>528</v>
      </c>
      <c r="K15" s="24" t="s">
        <v>106</v>
      </c>
    </row>
    <row r="16" spans="1:11" ht="51.75" customHeight="1" x14ac:dyDescent="0.3">
      <c r="A16" s="24" t="s">
        <v>529</v>
      </c>
      <c r="B16" s="28" t="s">
        <v>326</v>
      </c>
      <c r="C16" s="28" t="s">
        <v>530</v>
      </c>
      <c r="D16" s="24" t="s">
        <v>36</v>
      </c>
      <c r="E16" s="28" t="s">
        <v>327</v>
      </c>
      <c r="F16" s="28" t="s">
        <v>185</v>
      </c>
      <c r="G16" s="28" t="s">
        <v>323</v>
      </c>
      <c r="H16" s="28" t="s">
        <v>89</v>
      </c>
      <c r="I16" s="28" t="s">
        <v>488</v>
      </c>
      <c r="J16" s="28" t="s">
        <v>531</v>
      </c>
      <c r="K16" s="24" t="s">
        <v>106</v>
      </c>
    </row>
    <row r="17" spans="1:11" ht="51.75" customHeight="1" x14ac:dyDescent="0.3">
      <c r="A17" s="31" t="s">
        <v>532</v>
      </c>
      <c r="B17" s="32" t="s">
        <v>168</v>
      </c>
      <c r="C17" s="32" t="s">
        <v>533</v>
      </c>
      <c r="D17" s="31" t="s">
        <v>142</v>
      </c>
      <c r="E17" s="32" t="s">
        <v>534</v>
      </c>
      <c r="F17" s="32" t="s">
        <v>104</v>
      </c>
      <c r="G17" s="32" t="s">
        <v>126</v>
      </c>
      <c r="H17" s="32" t="s">
        <v>89</v>
      </c>
      <c r="I17" s="28" t="s">
        <v>488</v>
      </c>
      <c r="J17" s="32" t="s">
        <v>535</v>
      </c>
      <c r="K17" s="22" t="s">
        <v>146</v>
      </c>
    </row>
    <row r="18" spans="1:11" ht="51.75" customHeight="1" x14ac:dyDescent="0.3">
      <c r="A18" s="31" t="s">
        <v>536</v>
      </c>
      <c r="B18" s="32" t="s">
        <v>289</v>
      </c>
      <c r="C18" s="32" t="s">
        <v>537</v>
      </c>
      <c r="D18" s="31" t="s">
        <v>142</v>
      </c>
      <c r="E18" s="32" t="s">
        <v>290</v>
      </c>
      <c r="F18" s="32" t="s">
        <v>268</v>
      </c>
      <c r="G18" s="32" t="s">
        <v>105</v>
      </c>
      <c r="H18" s="32" t="s">
        <v>89</v>
      </c>
      <c r="I18" s="28" t="s">
        <v>488</v>
      </c>
      <c r="J18" s="32" t="s">
        <v>538</v>
      </c>
      <c r="K18" s="22" t="s">
        <v>146</v>
      </c>
    </row>
    <row r="19" spans="1:11" ht="51.75" customHeight="1" x14ac:dyDescent="0.3">
      <c r="A19" s="29" t="s">
        <v>539</v>
      </c>
      <c r="B19" s="30" t="s">
        <v>364</v>
      </c>
      <c r="C19" s="30" t="s">
        <v>540</v>
      </c>
      <c r="D19" s="29" t="s">
        <v>40</v>
      </c>
      <c r="E19" s="30" t="s">
        <v>365</v>
      </c>
      <c r="F19" s="30" t="s">
        <v>362</v>
      </c>
      <c r="G19" s="30" t="s">
        <v>126</v>
      </c>
      <c r="H19" s="30" t="s">
        <v>142</v>
      </c>
      <c r="I19" s="28" t="s">
        <v>488</v>
      </c>
      <c r="J19" s="30" t="s">
        <v>541</v>
      </c>
      <c r="K19" s="24" t="s">
        <v>106</v>
      </c>
    </row>
  </sheetData>
  <mergeCells count="1">
    <mergeCell ref="A1:K1"/>
  </mergeCells>
  <dataValidations count="2">
    <dataValidation type="list" sqref="I3:I19" xr:uid="{00000000-0002-0000-0300-000000000000}">
      <formula1>"Open,In Progress,Closed"</formula1>
      <formula2>0</formula2>
    </dataValidation>
    <dataValidation type="list" sqref="D3:D19" xr:uid="{00000000-0002-0000-0300-000001000000}">
      <formula1>"Critical,High,Medium,Low"</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Engagement Overview</vt:lpstr>
      <vt:lpstr>Security Rule Assessment</vt:lpstr>
      <vt:lpstr>Risk Register</vt:lpstr>
      <vt:lpstr>Remediation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Edem Messiga</cp:lastModifiedBy>
  <cp:revision>0</cp:revision>
  <dcterms:created xsi:type="dcterms:W3CDTF">2026-05-29T16:09:58Z</dcterms:created>
  <dcterms:modified xsi:type="dcterms:W3CDTF">2026-05-30T20:53:51Z</dcterms:modified>
  <dc:language>en-US</dc:language>
</cp:coreProperties>
</file>